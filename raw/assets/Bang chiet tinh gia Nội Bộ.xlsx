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tungnguyenconsulting-my.sharepoint.com/personal/tung_nt_tungnguyenconsulting_onmicrosoft_com/Documents/01.Companies/HongNgocHa/03.Projects/2022/07.TourOperationManagement/02.Requirement/02.B-Application/"/>
    </mc:Choice>
  </mc:AlternateContent>
  <xr:revisionPtr revIDLastSave="15" documentId="11_D20A508D42A92A61B5D9E8D070DE49AC224822AD" xr6:coauthVersionLast="47" xr6:coauthVersionMax="47" xr10:uidLastSave="{D32601C1-82AB-430C-B406-9F9A53B32315}"/>
  <bookViews>
    <workbookView xWindow="-110" yWindow="-110" windowWidth="19420" windowHeight="11620" xr2:uid="{00000000-000D-0000-FFFF-FFFF00000000}"/>
  </bookViews>
  <sheets>
    <sheet name="Bang du tru chi phi Quotation" sheetId="5" r:id="rId1"/>
    <sheet name="Bang Quyết tóan hoan thanh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1" i="5" l="1"/>
  <c r="G71" i="5" s="1"/>
  <c r="E70" i="5"/>
  <c r="G70" i="5" s="1"/>
  <c r="C69" i="5"/>
  <c r="E69" i="5" s="1"/>
  <c r="G69" i="5" s="1"/>
  <c r="E68" i="5"/>
  <c r="E67" i="5"/>
  <c r="G67" i="5" s="1"/>
  <c r="E65" i="5"/>
  <c r="G65" i="5" s="1"/>
  <c r="E64" i="5"/>
  <c r="E46" i="5"/>
  <c r="G46" i="5" s="1"/>
  <c r="E62" i="5"/>
  <c r="G62" i="5" s="1"/>
  <c r="E61" i="5"/>
  <c r="G61" i="5" s="1"/>
  <c r="E59" i="5"/>
  <c r="G59" i="5" s="1"/>
  <c r="E58" i="5"/>
  <c r="G58" i="5" s="1"/>
  <c r="E57" i="5"/>
  <c r="G57" i="5" s="1"/>
  <c r="E56" i="5"/>
  <c r="G56" i="5" s="1"/>
  <c r="E54" i="5"/>
  <c r="G54" i="5" s="1"/>
  <c r="E53" i="5"/>
  <c r="G53" i="5" s="1"/>
  <c r="G52" i="5"/>
  <c r="E51" i="5"/>
  <c r="G51" i="5" s="1"/>
  <c r="E50" i="5"/>
  <c r="G50" i="5" s="1"/>
  <c r="E49" i="5"/>
  <c r="G49" i="5" s="1"/>
  <c r="E48" i="5"/>
  <c r="E45" i="5"/>
  <c r="G45" i="5" s="1"/>
  <c r="E44" i="5"/>
  <c r="E42" i="5"/>
  <c r="G42" i="5" s="1"/>
  <c r="C41" i="5"/>
  <c r="E41" i="5" s="1"/>
  <c r="E40" i="5"/>
  <c r="G40" i="5" s="1"/>
  <c r="E39" i="5"/>
  <c r="G39" i="5" s="1"/>
  <c r="E38" i="5"/>
  <c r="G38" i="5" s="1"/>
  <c r="E37" i="5"/>
  <c r="G37" i="5" s="1"/>
  <c r="C30" i="5"/>
  <c r="D30" i="5" s="1"/>
  <c r="G30" i="5" s="1"/>
  <c r="D29" i="5"/>
  <c r="G29" i="5" s="1"/>
  <c r="D28" i="5"/>
  <c r="G28" i="5" s="1"/>
  <c r="C27" i="5"/>
  <c r="D27" i="5" s="1"/>
  <c r="C25" i="5"/>
  <c r="D25" i="5" s="1"/>
  <c r="G25" i="5" s="1"/>
  <c r="D24" i="5"/>
  <c r="G24" i="5" s="1"/>
  <c r="D23" i="5"/>
  <c r="G23" i="5" s="1"/>
  <c r="C20" i="5"/>
  <c r="D20" i="5" s="1"/>
  <c r="G20" i="5" s="1"/>
  <c r="E63" i="5" l="1"/>
  <c r="C22" i="5"/>
  <c r="D22" i="5" s="1"/>
  <c r="G22" i="5" s="1"/>
  <c r="C12" i="5"/>
  <c r="D12" i="5" s="1"/>
  <c r="E43" i="5"/>
  <c r="E47" i="5"/>
  <c r="G48" i="5"/>
  <c r="G47" i="5" s="1"/>
  <c r="E60" i="5"/>
  <c r="G44" i="5"/>
  <c r="G43" i="5" s="1"/>
  <c r="G64" i="5"/>
  <c r="G27" i="5"/>
  <c r="G31" i="5" s="1"/>
  <c r="D31" i="5"/>
  <c r="G68" i="5"/>
  <c r="G66" i="5" s="1"/>
  <c r="E66" i="5"/>
  <c r="G12" i="5"/>
  <c r="E36" i="5"/>
  <c r="G41" i="5"/>
  <c r="G36" i="5" s="1"/>
  <c r="G55" i="5"/>
  <c r="G60" i="5"/>
  <c r="C21" i="5"/>
  <c r="D21" i="5" s="1"/>
  <c r="G21" i="5" s="1"/>
  <c r="K12" i="5"/>
  <c r="C19" i="5"/>
  <c r="D19" i="5" s="1"/>
  <c r="G19" i="5" s="1"/>
  <c r="E55" i="5"/>
  <c r="G26" i="5" l="1"/>
  <c r="G32" i="5" s="1"/>
  <c r="D26" i="5"/>
  <c r="D32" i="5" s="1"/>
  <c r="J33" i="5" l="1"/>
  <c r="G33" i="5"/>
  <c r="J30" i="5"/>
  <c r="J32" i="5"/>
  <c r="G30" i="1" l="1"/>
  <c r="F12" i="1" l="1"/>
  <c r="G29" i="1" l="1"/>
  <c r="G13" i="1" l="1"/>
  <c r="G16" i="1" l="1"/>
  <c r="G18" i="1"/>
  <c r="G19" i="1"/>
  <c r="G8" i="1" l="1"/>
  <c r="G24" i="1" l="1"/>
  <c r="G23" i="1" s="1"/>
  <c r="G22" i="1"/>
  <c r="G20" i="1"/>
  <c r="G21" i="1"/>
  <c r="G15" i="1"/>
  <c r="G26" i="1"/>
  <c r="G28" i="1"/>
  <c r="G14" i="1" l="1"/>
  <c r="G31" i="1"/>
  <c r="G7" i="1" l="1"/>
  <c r="G6" i="1" s="1"/>
  <c r="G27" i="1"/>
  <c r="G10" i="1"/>
  <c r="G12" i="1"/>
  <c r="G11" i="1" l="1"/>
  <c r="G9" i="1"/>
  <c r="G25" i="1"/>
  <c r="G32" i="1" l="1"/>
  <c r="G35" i="1" s="1"/>
  <c r="E72" i="5"/>
  <c r="H72" i="5" s="1"/>
  <c r="K11" i="5" s="1"/>
  <c r="K22" i="5" s="1"/>
  <c r="H22" i="5"/>
  <c r="G77" i="5"/>
  <c r="H12" i="5"/>
  <c r="G63" i="5"/>
  <c r="G72" i="5"/>
  <c r="G75" i="5"/>
  <c r="G79" i="5"/>
</calcChain>
</file>

<file path=xl/sharedStrings.xml><?xml version="1.0" encoding="utf-8"?>
<sst xmlns="http://schemas.openxmlformats.org/spreadsheetml/2006/main" count="185" uniqueCount="173">
  <si>
    <t xml:space="preserve">BẢNG QUYẾT TOÁN TOUR </t>
  </si>
  <si>
    <t>Đầu mục</t>
  </si>
  <si>
    <t>Chi tiết</t>
  </si>
  <si>
    <t>Dvt</t>
  </si>
  <si>
    <t>Chứng từ</t>
  </si>
  <si>
    <t>Ghi chú</t>
  </si>
  <si>
    <t>Nhà cung cấp</t>
  </si>
  <si>
    <t>Số lượng</t>
  </si>
  <si>
    <t>Đơn giá</t>
  </si>
  <si>
    <t>Thành tiền</t>
  </si>
  <si>
    <t>Vận chuyển</t>
  </si>
  <si>
    <t>Hướng dẫn viên</t>
  </si>
  <si>
    <t xml:space="preserve">CTP </t>
  </si>
  <si>
    <t>Chi phí khác</t>
  </si>
  <si>
    <t>Tổng cộng chi phí</t>
  </si>
  <si>
    <t>Giá bán</t>
  </si>
  <si>
    <t>Lợi nhuận</t>
  </si>
  <si>
    <t>Người lập</t>
  </si>
  <si>
    <t>Giám đốc duyệt</t>
  </si>
  <si>
    <t>Tour code:</t>
  </si>
  <si>
    <t>Hành trình:</t>
  </si>
  <si>
    <t>Service Fee/charge/markup</t>
  </si>
  <si>
    <t>Bảo hiểm</t>
  </si>
  <si>
    <t xml:space="preserve">in ấn Quốc Đạt </t>
  </si>
  <si>
    <t xml:space="preserve">Sales </t>
  </si>
  <si>
    <t xml:space="preserve">Hoàng Xuân Hương </t>
  </si>
  <si>
    <t xml:space="preserve">Trần Thị Minh Thảo </t>
  </si>
  <si>
    <t>đoàn `</t>
  </si>
  <si>
    <t xml:space="preserve">HOTEL </t>
  </si>
  <si>
    <t>Nhà hàng</t>
  </si>
  <si>
    <t xml:space="preserve">Phong </t>
  </si>
  <si>
    <t xml:space="preserve">KLE220713_12 </t>
  </si>
  <si>
    <t xml:space="preserve">Phú Quốc </t>
  </si>
  <si>
    <t xml:space="preserve">Bách Phú An </t>
  </si>
  <si>
    <t xml:space="preserve">Nước uống </t>
  </si>
  <si>
    <t xml:space="preserve">Best Western Sonasea </t>
  </si>
  <si>
    <t xml:space="preserve">Thông tiến </t>
  </si>
  <si>
    <t>vé máy bay HNH</t>
  </si>
  <si>
    <t xml:space="preserve">vận chuyển Long beach </t>
  </si>
  <si>
    <t>Almaz</t>
  </si>
  <si>
    <t xml:space="preserve">Cơm Bắc Suối đá </t>
  </si>
  <si>
    <t xml:space="preserve">Monaco </t>
  </si>
  <si>
    <t xml:space="preserve">Marina </t>
  </si>
  <si>
    <t xml:space="preserve">Hạnh Nhung Luxury </t>
  </si>
  <si>
    <t xml:space="preserve">Làng Chài </t>
  </si>
  <si>
    <t xml:space="preserve">sun World </t>
  </si>
  <si>
    <t xml:space="preserve">Tham quan </t>
  </si>
  <si>
    <t xml:space="preserve">Must Go </t>
  </si>
  <si>
    <t>Nón HNH</t>
  </si>
  <si>
    <t>Hđ: 571</t>
  </si>
  <si>
    <t>Hđ: 140</t>
  </si>
  <si>
    <t>Hđ : 00000360</t>
  </si>
  <si>
    <t>Hđ: 00004998+00004999</t>
  </si>
  <si>
    <t>Hđ: 00000079+00000080</t>
  </si>
  <si>
    <t>Hđ: 3141+3142</t>
  </si>
  <si>
    <t>Hđ: 898</t>
  </si>
  <si>
    <t>Hđ: 897</t>
  </si>
  <si>
    <t>Hđ: 00014814</t>
  </si>
  <si>
    <t>Hđ: 00000463</t>
  </si>
  <si>
    <t>Hđ: 3147</t>
  </si>
  <si>
    <t>Hđ: 00000550</t>
  </si>
  <si>
    <t>Hđ : 00000417</t>
  </si>
  <si>
    <t xml:space="preserve">TEAM BUILDING Mr Thức </t>
  </si>
  <si>
    <t xml:space="preserve">Hđ : 921 (Hóa đơn Hạnh Nhung) </t>
  </si>
  <si>
    <t>Hương mustgo  hoàn lại 90.000</t>
  </si>
  <si>
    <t xml:space="preserve">Nguyễn Trọng Nghi </t>
  </si>
  <si>
    <t xml:space="preserve">Thời gian </t>
  </si>
  <si>
    <t xml:space="preserve">CTP + Điện thoại + ngủ </t>
  </si>
  <si>
    <t xml:space="preserve">Áo mưa </t>
  </si>
  <si>
    <t>11 - 14/08</t>
  </si>
  <si>
    <t xml:space="preserve">Hóa đơn lẻ </t>
  </si>
  <si>
    <t>Thức mua chơi team 0938120347, không HĐ</t>
  </si>
  <si>
    <t xml:space="preserve">BẢNG CHIẾT TÍNH BÁO CÁO LỢI NHUẬN TOUR </t>
  </si>
  <si>
    <r>
      <rPr>
        <b/>
        <u/>
        <sz val="14"/>
        <color indexed="8"/>
        <rFont val="Times New Roman"/>
        <family val="1"/>
      </rPr>
      <t>Kính gửi:</t>
    </r>
    <r>
      <rPr>
        <b/>
        <sz val="14"/>
        <color indexed="8"/>
        <rFont val="Times New Roman"/>
        <family val="1"/>
      </rPr>
      <t xml:space="preserve"> Lãnh đạo - Kế toán </t>
    </r>
  </si>
  <si>
    <t>Mã đoàn:</t>
  </si>
  <si>
    <t>Tuyến:</t>
  </si>
  <si>
    <t>PQ</t>
  </si>
  <si>
    <t>Tên Công ty:</t>
  </si>
  <si>
    <t>Nhật Huy Khang</t>
  </si>
  <si>
    <t>MST:</t>
  </si>
  <si>
    <t>Ngày đi:</t>
  </si>
  <si>
    <t>Ngày về:</t>
  </si>
  <si>
    <t>13/8/2022</t>
  </si>
  <si>
    <t>Số lượng khách:</t>
  </si>
  <si>
    <t>44 (41 NL + 1 TE + 2 trẻ free)</t>
  </si>
  <si>
    <t>HDV:</t>
  </si>
  <si>
    <t>1. PHẦN THU</t>
  </si>
  <si>
    <t>Nội dung</t>
  </si>
  <si>
    <t>Số khách</t>
  </si>
  <si>
    <t>Tổng thu</t>
  </si>
  <si>
    <t>Thuế 
suất</t>
  </si>
  <si>
    <t>Doanh thu</t>
  </si>
  <si>
    <t xml:space="preserve">LỢI NHUẬN </t>
  </si>
  <si>
    <t>Giá nett/pax</t>
  </si>
  <si>
    <t>Dịch vụ Tour người lớn</t>
  </si>
  <si>
    <t>Giá bán/pax (bay VNA)</t>
  </si>
  <si>
    <t>Dịch vụ tour trẻ em 5-11t</t>
  </si>
  <si>
    <t>hoàn tiền ăn 2 cô người Nhật, nhưng trừ vé shuttle bus</t>
  </si>
  <si>
    <t>Giá tour Takamura Yasuyo</t>
  </si>
  <si>
    <t>Michi Ishida có Phụ thu phòng đơn</t>
  </si>
  <si>
    <t>Lời trước thuế/pax (bay VNA)</t>
  </si>
  <si>
    <t>vé xem show tinh hoa người cao tuổi</t>
  </si>
  <si>
    <t>ve Vinpearl Safari người cao tuổi</t>
  </si>
  <si>
    <t>vé Vinpearl Safari 37 vé (34 NL + 2 TE + 1NCT)</t>
  </si>
  <si>
    <t>1.1 Thu dịch vụ</t>
  </si>
  <si>
    <t>Vé máy bay SGN-PQC Vietjet</t>
  </si>
  <si>
    <t>Thu chênh lệch nâng hạng vé Vietjet Business+lounge</t>
  </si>
  <si>
    <t>Hủy 2 vé. Phí cọc không hoàn lại</t>
  </si>
  <si>
    <t>phát sinh</t>
  </si>
  <si>
    <t>Book VMB SGN-PQC-SGN VNA sáng ngày 14/8 (4 vé)</t>
  </si>
  <si>
    <t>1.2 Thu vé vận chuyển</t>
  </si>
  <si>
    <t>1.3 Tổng thu</t>
  </si>
  <si>
    <t>số tiền còn lại HD TNHH</t>
  </si>
  <si>
    <t>1.4 Thuế phải nộp</t>
  </si>
  <si>
    <t>Giá trị HĐ TNHH</t>
  </si>
  <si>
    <t>2. PHẦN CHI</t>
  </si>
  <si>
    <t>Lần 
sử dụng</t>
  </si>
  <si>
    <t>Tổng chi</t>
  </si>
  <si>
    <t>Thuế suất</t>
  </si>
  <si>
    <t>Chi phí</t>
  </si>
  <si>
    <t>Đặt cọc VMB SGN-PQC-SGN</t>
  </si>
  <si>
    <t>Thanh toán full 41 VMB SGN-PQC-SGN</t>
  </si>
  <si>
    <t>đã bao gồm vé HDV, hủy mất cọc 2s - code hủy BXSJHN</t>
  </si>
  <si>
    <t>Hành lý ký gửi</t>
  </si>
  <si>
    <t>VMB Vietjet SGN-PQC-SGN business</t>
  </si>
  <si>
    <t>VMB SGN-PQC-SGN VNA ngày 14/8</t>
  </si>
  <si>
    <t>Xe 45 chỗ 4N3Đ</t>
  </si>
  <si>
    <t>Khách sạn</t>
  </si>
  <si>
    <t>BWSonasea ROH</t>
  </si>
  <si>
    <t>Ăn trưa ngày 1</t>
  </si>
  <si>
    <t xml:space="preserve">Cơm Bắc Suối Đá </t>
  </si>
  <si>
    <t>Ăn tối ngày 1</t>
  </si>
  <si>
    <t xml:space="preserve">Almaz </t>
  </si>
  <si>
    <t>Ăn trưa ngày 2</t>
  </si>
  <si>
    <t>Ăn tối ngày 2</t>
  </si>
  <si>
    <t>Marina</t>
  </si>
  <si>
    <t>Ăn hải sản tối ngày 3</t>
  </si>
  <si>
    <t>Hạnh Nhung Luxury</t>
  </si>
  <si>
    <t>Ăn trưa ngày 4</t>
  </si>
  <si>
    <t xml:space="preserve">Làng Chài Hàm Ninh </t>
  </si>
  <si>
    <t>Ăn tối ngày 4</t>
  </si>
  <si>
    <t>Monaco</t>
  </si>
  <si>
    <t>Tham quan</t>
  </si>
  <si>
    <t>cap treo Hon thom 2 luot kem an buffet</t>
  </si>
  <si>
    <t>Upgrade 1vé combo Hòn Thơm e bé thành NL</t>
  </si>
  <si>
    <t>ve tham quan Vin Safari 37 pax</t>
  </si>
  <si>
    <t>Vé tq Vin Safari phát sinh tại cổng</t>
  </si>
  <si>
    <t xml:space="preserve"> upgrade 2vé NL 320k + 1vé NL 650k</t>
  </si>
  <si>
    <t>Nhân sự HNH</t>
  </si>
  <si>
    <t>HDV HNH đi từ SGN</t>
  </si>
  <si>
    <t>Phát sinh HDV Phú Quốc hỗ trợ đi VinSafari</t>
  </si>
  <si>
    <t>chị Quỳnh ok</t>
  </si>
  <si>
    <t>Team Building</t>
  </si>
  <si>
    <t>Phí sân + vệ sinh</t>
  </si>
  <si>
    <t>Gói team của Thức (Hạnh Nhung xuất hóa đơn)</t>
  </si>
  <si>
    <t>nước uống, cổng hơi, in backrop, loa kéo, MC, gametools, nhờ Hạnh Nhung xuất dùm HĐ, phí 8%</t>
  </si>
  <si>
    <t>Chí phí khác</t>
  </si>
  <si>
    <t xml:space="preserve">Bảo hiểm  </t>
  </si>
  <si>
    <t>In ấn banner treo xe 1,2m x 0,6m</t>
  </si>
  <si>
    <t>In ấn banner chụp hình 4m x 1m</t>
  </si>
  <si>
    <t xml:space="preserve">Nón </t>
  </si>
  <si>
    <t>Áo mưa</t>
  </si>
  <si>
    <t>3. LÃI GỘP</t>
  </si>
  <si>
    <t>TỶ LỆ LÃI/D.THU GỒM VÉ</t>
  </si>
  <si>
    <t>TỶ LỆ LÃI/D.THU CHƯA VÉ</t>
  </si>
  <si>
    <t>TP. HCM, ngày 14 tháng 04 năm 2022</t>
  </si>
  <si>
    <t>NGƯỜI LẬP</t>
  </si>
  <si>
    <t>NGUYỄN TRỌNG NGHI</t>
  </si>
  <si>
    <t>dịch vụ tour trẻ em 5-11t</t>
  </si>
  <si>
    <t>delivery</t>
  </si>
  <si>
    <t>Hotel</t>
  </si>
  <si>
    <t>Airline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</si>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</sst>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FF"/>
      <name val="Times New Roman"/>
      <family val="1"/>
    </font>
    <font>
      <sz val="14"/>
      <color theme="1"/>
      <name val="Times New Roman"/>
      <family val="1"/>
    </font>
    <font>
      <b/>
      <sz val="14"/>
      <color indexed="8"/>
      <name val="Times New Roman"/>
      <family val="1"/>
    </font>
    <font>
      <b/>
      <u/>
      <sz val="14"/>
      <color indexed="8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color rgb="FF3333FF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u val="singleAccounting"/>
      <sz val="14"/>
      <color rgb="FF0000FF"/>
      <name val="Times New Roman"/>
      <family val="1"/>
    </font>
    <font>
      <b/>
      <u val="singleAccounting"/>
      <sz val="14"/>
      <color rgb="FF3333FF"/>
      <name val="Times New Roman"/>
      <family val="1"/>
    </font>
    <font>
      <sz val="12"/>
      <color theme="1"/>
      <name val="Times New Roman"/>
      <family val="1"/>
    </font>
    <font>
      <sz val="13"/>
      <name val="Times New Roman"/>
      <family val="1"/>
    </font>
    <font>
      <b/>
      <u val="singleAccounting"/>
      <sz val="14"/>
      <color theme="1"/>
      <name val="Times New Roman"/>
      <family val="1"/>
    </font>
    <font>
      <i/>
      <sz val="14"/>
      <name val="Times New Roman"/>
      <family val="1"/>
    </font>
    <font>
      <b/>
      <u/>
      <sz val="14"/>
      <color rgb="FF0000FF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8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4" fontId="0" fillId="0" borderId="0" xfId="1" applyNumberFormat="1" applyFont="1" applyAlignment="1"/>
    <xf numFmtId="0" fontId="3" fillId="0" borderId="0" xfId="0" applyFont="1"/>
    <xf numFmtId="3" fontId="3" fillId="0" borderId="0" xfId="0" applyNumberFormat="1" applyFont="1"/>
    <xf numFmtId="0" fontId="2" fillId="0" borderId="0" xfId="0" applyFont="1" applyAlignment="1" applyProtection="1">
      <alignment horizontal="center"/>
      <protection locked="0"/>
    </xf>
    <xf numFmtId="9" fontId="2" fillId="0" borderId="0" xfId="2" applyFont="1" applyAlignment="1" applyProtection="1">
      <alignment horizontal="right"/>
      <protection locked="0"/>
    </xf>
    <xf numFmtId="0" fontId="7" fillId="0" borderId="0" xfId="0" applyFont="1" applyAlignment="1" applyProtection="1">
      <alignment horizontal="left" vertical="center"/>
      <protection locked="0"/>
    </xf>
    <xf numFmtId="41" fontId="7" fillId="0" borderId="0" xfId="0" applyNumberFormat="1" applyFont="1" applyAlignment="1" applyProtection="1">
      <alignment vertical="center"/>
      <protection locked="0"/>
    </xf>
    <xf numFmtId="41" fontId="7" fillId="0" borderId="2" xfId="0" applyNumberFormat="1" applyFont="1" applyBorder="1" applyAlignment="1" applyProtection="1">
      <alignment horizontal="left" vertical="center"/>
      <protection locked="0"/>
    </xf>
    <xf numFmtId="0" fontId="8" fillId="0" borderId="0" xfId="0" applyFont="1" applyProtection="1">
      <protection locked="0"/>
    </xf>
    <xf numFmtId="0" fontId="7" fillId="0" borderId="0" xfId="0" applyFont="1" applyAlignment="1" applyProtection="1">
      <alignment horizontal="center" vertical="center"/>
      <protection locked="0"/>
    </xf>
    <xf numFmtId="41" fontId="7" fillId="0" borderId="0" xfId="0" applyNumberFormat="1" applyFont="1" applyAlignment="1" applyProtection="1">
      <alignment horizontal="center" vertical="center"/>
      <protection locked="0"/>
    </xf>
    <xf numFmtId="9" fontId="7" fillId="0" borderId="0" xfId="2" applyFont="1" applyFill="1" applyBorder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9" fillId="0" borderId="0" xfId="0" applyFont="1" applyAlignment="1" applyProtection="1">
      <alignment horizontal="left" vertical="center"/>
      <protection locked="0"/>
    </xf>
    <xf numFmtId="3" fontId="8" fillId="0" borderId="0" xfId="0" applyNumberFormat="1" applyFont="1" applyAlignment="1" applyProtection="1">
      <alignment horizontal="center" vertical="center"/>
      <protection locked="0"/>
    </xf>
    <xf numFmtId="41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9" fontId="8" fillId="0" borderId="0" xfId="2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41" fontId="7" fillId="4" borderId="1" xfId="0" applyNumberFormat="1" applyFont="1" applyFill="1" applyBorder="1" applyAlignment="1" applyProtection="1">
      <alignment horizontal="center"/>
      <protection locked="0"/>
    </xf>
    <xf numFmtId="0" fontId="7" fillId="4" borderId="1" xfId="0" applyFont="1" applyFill="1" applyBorder="1" applyAlignment="1" applyProtection="1">
      <alignment horizontal="center"/>
      <protection locked="0"/>
    </xf>
    <xf numFmtId="9" fontId="7" fillId="4" borderId="1" xfId="2" applyFont="1" applyFill="1" applyBorder="1" applyAlignment="1" applyProtection="1">
      <alignment horizontal="center" wrapText="1"/>
      <protection locked="0"/>
    </xf>
    <xf numFmtId="0" fontId="7" fillId="4" borderId="1" xfId="0" applyFont="1" applyFill="1" applyBorder="1" applyAlignment="1" applyProtection="1">
      <alignment horizontal="right"/>
      <protection locked="0"/>
    </xf>
    <xf numFmtId="0" fontId="8" fillId="5" borderId="1" xfId="0" applyFont="1" applyFill="1" applyBorder="1" applyAlignment="1" applyProtection="1">
      <alignment horizontal="left" vertical="center"/>
      <protection locked="0"/>
    </xf>
    <xf numFmtId="41" fontId="8" fillId="0" borderId="1" xfId="0" applyNumberFormat="1" applyFont="1" applyBorder="1" applyAlignment="1" applyProtection="1">
      <alignment horizontal="center"/>
      <protection locked="0"/>
    </xf>
    <xf numFmtId="41" fontId="8" fillId="6" borderId="1" xfId="0" applyNumberFormat="1" applyFont="1" applyFill="1" applyBorder="1" applyAlignment="1" applyProtection="1">
      <alignment horizontal="center"/>
      <protection locked="0"/>
    </xf>
    <xf numFmtId="9" fontId="8" fillId="0" borderId="1" xfId="2" applyFont="1" applyFill="1" applyBorder="1" applyAlignment="1" applyProtection="1">
      <alignment horizontal="center"/>
      <protection locked="0"/>
    </xf>
    <xf numFmtId="41" fontId="7" fillId="0" borderId="1" xfId="0" applyNumberFormat="1" applyFont="1" applyBorder="1" applyProtection="1">
      <protection locked="0"/>
    </xf>
    <xf numFmtId="3" fontId="3" fillId="7" borderId="0" xfId="0" applyNumberFormat="1" applyFont="1" applyFill="1"/>
    <xf numFmtId="0" fontId="8" fillId="0" borderId="1" xfId="0" applyFont="1" applyBorder="1" applyAlignment="1">
      <alignment horizontal="left" vertical="center"/>
    </xf>
    <xf numFmtId="41" fontId="8" fillId="0" borderId="1" xfId="0" applyNumberFormat="1" applyFont="1" applyBorder="1" applyAlignment="1">
      <alignment horizontal="center"/>
    </xf>
    <xf numFmtId="9" fontId="7" fillId="0" borderId="1" xfId="0" applyNumberFormat="1" applyFont="1" applyBorder="1" applyProtection="1">
      <protection locked="0"/>
    </xf>
    <xf numFmtId="0" fontId="10" fillId="8" borderId="1" xfId="0" applyFont="1" applyFill="1" applyBorder="1" applyAlignment="1">
      <alignment horizontal="left" vertical="center"/>
    </xf>
    <xf numFmtId="41" fontId="7" fillId="8" borderId="1" xfId="0" applyNumberFormat="1" applyFont="1" applyFill="1" applyBorder="1" applyAlignment="1">
      <alignment horizontal="center"/>
    </xf>
    <xf numFmtId="9" fontId="7" fillId="8" borderId="1" xfId="2" applyFont="1" applyFill="1" applyBorder="1" applyAlignment="1" applyProtection="1">
      <alignment horizontal="center"/>
    </xf>
    <xf numFmtId="41" fontId="2" fillId="8" borderId="1" xfId="0" applyNumberFormat="1" applyFont="1" applyFill="1" applyBorder="1" applyAlignment="1">
      <alignment horizontal="center"/>
    </xf>
    <xf numFmtId="41" fontId="7" fillId="8" borderId="1" xfId="0" applyNumberFormat="1" applyFont="1" applyFill="1" applyBorder="1" applyProtection="1"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41" fontId="11" fillId="0" borderId="1" xfId="0" applyNumberFormat="1" applyFont="1" applyBorder="1" applyAlignment="1" applyProtection="1">
      <alignment horizontal="center"/>
      <protection locked="0"/>
    </xf>
    <xf numFmtId="0" fontId="7" fillId="0" borderId="1" xfId="0" applyFont="1" applyBorder="1" applyProtection="1">
      <protection locked="0"/>
    </xf>
    <xf numFmtId="0" fontId="12" fillId="0" borderId="0" xfId="0" applyFont="1"/>
    <xf numFmtId="0" fontId="3" fillId="0" borderId="1" xfId="0" applyFont="1" applyBorder="1"/>
    <xf numFmtId="3" fontId="12" fillId="0" borderId="0" xfId="0" applyNumberFormat="1" applyFont="1"/>
    <xf numFmtId="41" fontId="3" fillId="0" borderId="0" xfId="0" applyNumberFormat="1" applyFont="1"/>
    <xf numFmtId="0" fontId="7" fillId="8" borderId="1" xfId="0" applyFont="1" applyFill="1" applyBorder="1" applyProtection="1">
      <protection locked="0"/>
    </xf>
    <xf numFmtId="0" fontId="6" fillId="8" borderId="1" xfId="0" applyFont="1" applyFill="1" applyBorder="1" applyAlignment="1">
      <alignment horizontal="left" vertical="center"/>
    </xf>
    <xf numFmtId="9" fontId="6" fillId="8" borderId="1" xfId="2" applyFont="1" applyFill="1" applyBorder="1" applyAlignment="1" applyProtection="1">
      <alignment horizontal="center"/>
    </xf>
    <xf numFmtId="41" fontId="13" fillId="8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center"/>
    </xf>
    <xf numFmtId="41" fontId="7" fillId="0" borderId="1" xfId="0" applyNumberFormat="1" applyFont="1" applyBorder="1" applyAlignment="1">
      <alignment horizontal="center"/>
    </xf>
    <xf numFmtId="9" fontId="7" fillId="0" borderId="1" xfId="2" applyFont="1" applyFill="1" applyBorder="1" applyAlignment="1" applyProtection="1">
      <alignment horizontal="center"/>
    </xf>
    <xf numFmtId="41" fontId="14" fillId="0" borderId="1" xfId="0" applyNumberFormat="1" applyFont="1" applyBorder="1" applyAlignment="1">
      <alignment horizontal="center"/>
    </xf>
    <xf numFmtId="3" fontId="7" fillId="0" borderId="0" xfId="0" applyNumberFormat="1" applyFont="1" applyAlignment="1" applyProtection="1">
      <alignment horizontal="center"/>
      <protection locked="0"/>
    </xf>
    <xf numFmtId="41" fontId="7" fillId="0" borderId="0" xfId="0" applyNumberFormat="1" applyFont="1" applyAlignment="1" applyProtection="1">
      <alignment horizontal="center"/>
      <protection locked="0"/>
    </xf>
    <xf numFmtId="9" fontId="7" fillId="0" borderId="0" xfId="2" applyFont="1" applyFill="1" applyBorder="1" applyAlignment="1" applyProtection="1">
      <alignment horizontal="center"/>
      <protection locked="0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41" fontId="7" fillId="4" borderId="1" xfId="0" applyNumberFormat="1" applyFont="1" applyFill="1" applyBorder="1" applyAlignment="1" applyProtection="1">
      <alignment horizontal="center" vertical="center"/>
      <protection locked="0"/>
    </xf>
    <xf numFmtId="41" fontId="7" fillId="4" borderId="1" xfId="0" applyNumberFormat="1" applyFont="1" applyFill="1" applyBorder="1" applyAlignment="1" applyProtection="1">
      <alignment horizontal="center" vertical="center" wrapText="1"/>
      <protection locked="0"/>
    </xf>
    <xf numFmtId="9" fontId="7" fillId="4" borderId="1" xfId="2" applyFont="1" applyFill="1" applyBorder="1" applyAlignment="1" applyProtection="1">
      <alignment horizontal="center" vertical="center" wrapText="1"/>
      <protection locked="0"/>
    </xf>
    <xf numFmtId="0" fontId="6" fillId="9" borderId="1" xfId="0" applyFont="1" applyFill="1" applyBorder="1" applyAlignment="1">
      <alignment horizontal="left" vertical="center"/>
    </xf>
    <xf numFmtId="3" fontId="2" fillId="9" borderId="1" xfId="0" applyNumberFormat="1" applyFont="1" applyFill="1" applyBorder="1" applyAlignment="1">
      <alignment horizontal="center"/>
    </xf>
    <xf numFmtId="41" fontId="2" fillId="9" borderId="1" xfId="0" applyNumberFormat="1" applyFont="1" applyFill="1" applyBorder="1" applyAlignment="1">
      <alignment horizontal="center"/>
    </xf>
    <xf numFmtId="9" fontId="6" fillId="9" borderId="1" xfId="2" applyFont="1" applyFill="1" applyBorder="1" applyAlignment="1" applyProtection="1">
      <alignment horizontal="center"/>
    </xf>
    <xf numFmtId="41" fontId="6" fillId="9" borderId="1" xfId="0" applyNumberFormat="1" applyFont="1" applyFill="1" applyBorder="1" applyAlignment="1">
      <alignment horizontal="center"/>
    </xf>
    <xf numFmtId="3" fontId="8" fillId="0" borderId="1" xfId="0" applyNumberFormat="1" applyFont="1" applyBorder="1" applyAlignment="1" applyProtection="1">
      <alignment horizontal="center"/>
      <protection locked="0"/>
    </xf>
    <xf numFmtId="41" fontId="8" fillId="0" borderId="1" xfId="0" applyNumberFormat="1" applyFont="1" applyBorder="1" applyAlignment="1" applyProtection="1">
      <alignment wrapText="1"/>
      <protection locked="0"/>
    </xf>
    <xf numFmtId="41" fontId="8" fillId="0" borderId="1" xfId="0" applyNumberFormat="1" applyFont="1" applyBorder="1" applyProtection="1">
      <protection locked="0"/>
    </xf>
    <xf numFmtId="0" fontId="8" fillId="0" borderId="1" xfId="0" applyFont="1" applyBorder="1" applyAlignment="1" applyProtection="1">
      <alignment horizontal="left" vertical="top" wrapText="1"/>
      <protection locked="0"/>
    </xf>
    <xf numFmtId="43" fontId="3" fillId="0" borderId="0" xfId="0" applyNumberFormat="1" applyFont="1"/>
    <xf numFmtId="0" fontId="6" fillId="9" borderId="1" xfId="0" applyFont="1" applyFill="1" applyBorder="1" applyAlignment="1" applyProtection="1">
      <alignment horizontal="left" vertical="center"/>
      <protection locked="0"/>
    </xf>
    <xf numFmtId="3" fontId="2" fillId="9" borderId="1" xfId="0" applyNumberFormat="1" applyFont="1" applyFill="1" applyBorder="1" applyAlignment="1" applyProtection="1">
      <alignment horizontal="center"/>
      <protection locked="0"/>
    </xf>
    <xf numFmtId="41" fontId="2" fillId="9" borderId="1" xfId="0" applyNumberFormat="1" applyFont="1" applyFill="1" applyBorder="1" applyAlignment="1" applyProtection="1">
      <alignment horizontal="center"/>
      <protection locked="0"/>
    </xf>
    <xf numFmtId="9" fontId="2" fillId="9" borderId="1" xfId="2" applyFont="1" applyFill="1" applyBorder="1" applyAlignment="1" applyProtection="1">
      <alignment horizontal="center"/>
      <protection locked="0"/>
    </xf>
    <xf numFmtId="41" fontId="6" fillId="9" borderId="1" xfId="0" applyNumberFormat="1" applyFont="1" applyFill="1" applyBorder="1" applyAlignment="1" applyProtection="1">
      <alignment horizontal="center"/>
      <protection locked="0"/>
    </xf>
    <xf numFmtId="0" fontId="8" fillId="0" borderId="1" xfId="0" applyFont="1" applyBorder="1" applyProtection="1">
      <protection locked="0"/>
    </xf>
    <xf numFmtId="9" fontId="2" fillId="9" borderId="1" xfId="2" applyFont="1" applyFill="1" applyBorder="1" applyAlignment="1" applyProtection="1">
      <alignment horizontal="center"/>
    </xf>
    <xf numFmtId="0" fontId="3" fillId="5" borderId="1" xfId="0" applyFont="1" applyFill="1" applyBorder="1"/>
    <xf numFmtId="3" fontId="8" fillId="5" borderId="1" xfId="0" applyNumberFormat="1" applyFont="1" applyFill="1" applyBorder="1" applyAlignment="1" applyProtection="1">
      <alignment horizontal="center"/>
      <protection locked="0"/>
    </xf>
    <xf numFmtId="164" fontId="3" fillId="5" borderId="1" xfId="1" applyNumberFormat="1" applyFont="1" applyFill="1" applyBorder="1"/>
    <xf numFmtId="41" fontId="8" fillId="5" borderId="1" xfId="0" applyNumberFormat="1" applyFont="1" applyFill="1" applyBorder="1" applyAlignment="1" applyProtection="1">
      <alignment horizontal="center"/>
      <protection locked="0"/>
    </xf>
    <xf numFmtId="9" fontId="8" fillId="5" borderId="1" xfId="2" applyFont="1" applyFill="1" applyBorder="1" applyAlignment="1" applyProtection="1">
      <alignment horizontal="center"/>
      <protection locked="0"/>
    </xf>
    <xf numFmtId="3" fontId="8" fillId="0" borderId="1" xfId="0" applyNumberFormat="1" applyFont="1" applyBorder="1" applyProtection="1">
      <protection locked="0"/>
    </xf>
    <xf numFmtId="41" fontId="8" fillId="0" borderId="0" xfId="0" applyNumberFormat="1" applyFont="1" applyProtection="1">
      <protection locked="0"/>
    </xf>
    <xf numFmtId="0" fontId="15" fillId="0" borderId="0" xfId="0" applyFont="1"/>
    <xf numFmtId="41" fontId="8" fillId="0" borderId="1" xfId="1" applyNumberFormat="1" applyFont="1" applyBorder="1" applyAlignment="1" applyProtection="1">
      <alignment horizontal="center" vertical="center"/>
      <protection locked="0"/>
    </xf>
    <xf numFmtId="0" fontId="16" fillId="0" borderId="1" xfId="0" applyFont="1" applyBorder="1"/>
    <xf numFmtId="164" fontId="16" fillId="0" borderId="1" xfId="1" applyNumberFormat="1" applyFont="1" applyFill="1" applyBorder="1" applyAlignment="1">
      <alignment horizontal="right"/>
    </xf>
    <xf numFmtId="0" fontId="16" fillId="0" borderId="1" xfId="0" applyFont="1" applyBorder="1" applyAlignment="1">
      <alignment horizontal="center"/>
    </xf>
    <xf numFmtId="0" fontId="6" fillId="10" borderId="1" xfId="0" applyFont="1" applyFill="1" applyBorder="1" applyAlignment="1">
      <alignment horizontal="left" vertical="center"/>
    </xf>
    <xf numFmtId="3" fontId="2" fillId="10" borderId="1" xfId="0" applyNumberFormat="1" applyFont="1" applyFill="1" applyBorder="1" applyAlignment="1">
      <alignment horizontal="center"/>
    </xf>
    <xf numFmtId="41" fontId="2" fillId="10" borderId="1" xfId="0" applyNumberFormat="1" applyFont="1" applyFill="1" applyBorder="1" applyAlignment="1">
      <alignment horizontal="center"/>
    </xf>
    <xf numFmtId="41" fontId="17" fillId="10" borderId="1" xfId="0" applyNumberFormat="1" applyFont="1" applyFill="1" applyBorder="1" applyAlignment="1">
      <alignment horizontal="center"/>
    </xf>
    <xf numFmtId="9" fontId="2" fillId="10" borderId="1" xfId="2" applyFont="1" applyFill="1" applyBorder="1" applyAlignment="1" applyProtection="1">
      <alignment horizontal="center"/>
    </xf>
    <xf numFmtId="3" fontId="7" fillId="0" borderId="0" xfId="0" applyNumberFormat="1" applyFont="1" applyAlignment="1" applyProtection="1">
      <alignment vertical="center"/>
      <protection locked="0"/>
    </xf>
    <xf numFmtId="9" fontId="7" fillId="0" borderId="0" xfId="2" applyFont="1" applyFill="1" applyBorder="1" applyAlignment="1" applyProtection="1">
      <alignment vertical="center"/>
      <protection locked="0"/>
    </xf>
    <xf numFmtId="0" fontId="6" fillId="0" borderId="4" xfId="0" applyFont="1" applyBorder="1" applyAlignment="1">
      <alignment horizontal="left" vertical="center"/>
    </xf>
    <xf numFmtId="41" fontId="2" fillId="0" borderId="5" xfId="0" applyNumberFormat="1" applyFont="1" applyBorder="1" applyAlignment="1">
      <alignment vertical="center"/>
    </xf>
    <xf numFmtId="9" fontId="2" fillId="0" borderId="5" xfId="2" applyFont="1" applyBorder="1" applyAlignment="1" applyProtection="1">
      <alignment vertical="center"/>
    </xf>
    <xf numFmtId="41" fontId="13" fillId="0" borderId="6" xfId="0" applyNumberFormat="1" applyFont="1" applyBorder="1" applyAlignment="1">
      <alignment vertical="center"/>
    </xf>
    <xf numFmtId="49" fontId="18" fillId="0" borderId="0" xfId="0" applyNumberFormat="1" applyFont="1" applyAlignment="1" applyProtection="1">
      <alignment horizontal="center"/>
      <protection locked="0"/>
    </xf>
    <xf numFmtId="0" fontId="2" fillId="0" borderId="7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9" fontId="2" fillId="0" borderId="1" xfId="2" applyFont="1" applyFill="1" applyBorder="1" applyAlignment="1" applyProtection="1">
      <alignment horizontal="center" vertical="center"/>
    </xf>
    <xf numFmtId="41" fontId="2" fillId="0" borderId="8" xfId="0" applyNumberFormat="1" applyFont="1" applyBorder="1" applyAlignment="1">
      <alignment horizontal="center" vertical="center"/>
    </xf>
    <xf numFmtId="41" fontId="7" fillId="0" borderId="0" xfId="0" applyNumberFormat="1" applyFont="1" applyProtection="1">
      <protection locked="0"/>
    </xf>
    <xf numFmtId="0" fontId="6" fillId="0" borderId="7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center" vertical="center"/>
    </xf>
    <xf numFmtId="9" fontId="2" fillId="0" borderId="1" xfId="2" applyFont="1" applyBorder="1" applyAlignment="1" applyProtection="1">
      <alignment horizontal="center" vertical="center"/>
    </xf>
    <xf numFmtId="9" fontId="19" fillId="0" borderId="8" xfId="0" applyNumberFormat="1" applyFont="1" applyBorder="1" applyAlignment="1">
      <alignment horizontal="center" vertical="center"/>
    </xf>
    <xf numFmtId="9" fontId="2" fillId="0" borderId="8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9" fontId="2" fillId="0" borderId="10" xfId="2" applyFont="1" applyBorder="1" applyAlignment="1" applyProtection="1">
      <alignment horizontal="center" vertical="center"/>
    </xf>
    <xf numFmtId="9" fontId="19" fillId="0" borderId="11" xfId="2" applyFont="1" applyBorder="1" applyAlignment="1" applyProtection="1">
      <alignment horizontal="center" vertical="center"/>
    </xf>
    <xf numFmtId="3" fontId="8" fillId="0" borderId="0" xfId="0" applyNumberFormat="1" applyFont="1" applyAlignment="1" applyProtection="1">
      <alignment horizontal="right"/>
      <protection locked="0"/>
    </xf>
    <xf numFmtId="41" fontId="18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20" fillId="0" borderId="0" xfId="0" applyFont="1"/>
    <xf numFmtId="0" fontId="21" fillId="0" borderId="0" xfId="0" applyFont="1"/>
    <xf numFmtId="164" fontId="21" fillId="0" borderId="0" xfId="1" applyNumberFormat="1" applyFont="1"/>
    <xf numFmtId="0" fontId="21" fillId="0" borderId="0" xfId="0" applyFont="1" applyAlignment="1">
      <alignment wrapText="1"/>
    </xf>
    <xf numFmtId="0" fontId="21" fillId="2" borderId="0" xfId="0" applyFont="1" applyFill="1"/>
    <xf numFmtId="14" fontId="21" fillId="2" borderId="0" xfId="0" quotePrefix="1" applyNumberFormat="1" applyFont="1" applyFill="1" applyAlignment="1">
      <alignment horizontal="left" vertical="top"/>
    </xf>
    <xf numFmtId="0" fontId="22" fillId="3" borderId="1" xfId="0" applyFont="1" applyFill="1" applyBorder="1" applyAlignment="1">
      <alignment wrapText="1"/>
    </xf>
    <xf numFmtId="164" fontId="22" fillId="3" borderId="1" xfId="1" applyNumberFormat="1" applyFont="1" applyFill="1" applyBorder="1" applyAlignment="1">
      <alignment wrapText="1"/>
    </xf>
    <xf numFmtId="0" fontId="22" fillId="3" borderId="1" xfId="0" applyFont="1" applyFill="1" applyBorder="1"/>
    <xf numFmtId="0" fontId="23" fillId="3" borderId="1" xfId="0" applyFont="1" applyFill="1" applyBorder="1"/>
    <xf numFmtId="164" fontId="23" fillId="3" borderId="1" xfId="1" applyNumberFormat="1" applyFont="1" applyFill="1" applyBorder="1"/>
    <xf numFmtId="0" fontId="23" fillId="0" borderId="1" xfId="0" applyFont="1" applyBorder="1" applyAlignment="1">
      <alignment wrapText="1"/>
    </xf>
    <xf numFmtId="0" fontId="23" fillId="0" borderId="1" xfId="0" applyFont="1" applyBorder="1"/>
    <xf numFmtId="0" fontId="22" fillId="0" borderId="1" xfId="0" applyFont="1" applyBorder="1"/>
    <xf numFmtId="164" fontId="23" fillId="0" borderId="1" xfId="1" applyNumberFormat="1" applyFont="1" applyBorder="1"/>
    <xf numFmtId="164" fontId="23" fillId="0" borderId="1" xfId="1" applyNumberFormat="1" applyFont="1" applyFill="1" applyBorder="1"/>
    <xf numFmtId="164" fontId="22" fillId="0" borderId="1" xfId="1" applyNumberFormat="1" applyFont="1" applyBorder="1"/>
    <xf numFmtId="9" fontId="23" fillId="0" borderId="1" xfId="0" applyNumberFormat="1" applyFont="1" applyBorder="1" applyAlignment="1">
      <alignment wrapText="1"/>
    </xf>
    <xf numFmtId="164" fontId="23" fillId="0" borderId="1" xfId="1" applyNumberFormat="1" applyFont="1" applyBorder="1" applyAlignment="1">
      <alignment wrapText="1"/>
    </xf>
    <xf numFmtId="0" fontId="2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4" fillId="0" borderId="0" xfId="0" applyFont="1"/>
    <xf numFmtId="14" fontId="7" fillId="0" borderId="3" xfId="0" applyNumberFormat="1" applyFont="1" applyBorder="1" applyAlignment="1" applyProtection="1">
      <alignment horizontal="left" vertical="center"/>
      <protection locked="0"/>
    </xf>
    <xf numFmtId="0" fontId="7" fillId="0" borderId="3" xfId="0" applyFont="1" applyBorder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left" vertical="center"/>
      <protection locked="0"/>
    </xf>
    <xf numFmtId="41" fontId="7" fillId="0" borderId="3" xfId="0" applyNumberFormat="1" applyFont="1" applyBorder="1" applyAlignment="1" applyProtection="1">
      <alignment horizontal="left" vertical="center"/>
      <protection locked="0"/>
    </xf>
    <xf numFmtId="41" fontId="8" fillId="0" borderId="1" xfId="0" applyNumberFormat="1" applyFont="1" applyBorder="1" applyAlignment="1" applyProtection="1">
      <alignment horizontal="center"/>
      <protection locked="0"/>
    </xf>
    <xf numFmtId="3" fontId="7" fillId="0" borderId="0" xfId="0" applyNumberFormat="1" applyFont="1" applyAlignment="1" applyProtection="1">
      <alignment horizontal="left" vertical="center"/>
      <protection locked="0"/>
    </xf>
    <xf numFmtId="49" fontId="7" fillId="0" borderId="3" xfId="0" applyNumberFormat="1" applyFont="1" applyBorder="1" applyAlignment="1" applyProtection="1">
      <alignment horizontal="left" vertical="center"/>
      <protection locked="0"/>
    </xf>
    <xf numFmtId="3" fontId="7" fillId="0" borderId="0" xfId="0" applyNumberFormat="1" applyFont="1" applyAlignment="1" applyProtection="1">
      <alignment horizontal="center" vertical="center"/>
      <protection locked="0"/>
    </xf>
    <xf numFmtId="41" fontId="7" fillId="4" borderId="1" xfId="0" applyNumberFormat="1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41" fontId="7" fillId="0" borderId="0" xfId="0" applyNumberFormat="1" applyFont="1" applyAlignment="1" applyProtection="1">
      <alignment horizontal="center"/>
      <protection locked="0"/>
    </xf>
    <xf numFmtId="41" fontId="2" fillId="8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6" fillId="7" borderId="1" xfId="1" applyNumberFormat="1" applyFont="1" applyFill="1" applyBorder="1" applyAlignment="1">
      <alignment horizontal="center"/>
    </xf>
    <xf numFmtId="41" fontId="18" fillId="0" borderId="0" xfId="0" applyNumberFormat="1" applyFont="1" applyAlignment="1" applyProtection="1">
      <alignment horizontal="center"/>
      <protection locked="0"/>
    </xf>
    <xf numFmtId="0" fontId="24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0" fontId="8" fillId="5" borderId="1" xfId="0" applyFont="1" applyFill="1" applyBorder="1" applyAlignment="1" applyProtection="1">
      <alignment horizontal="left" vertical="center" indent="1"/>
      <protection locked="0"/>
    </xf>
    <xf numFmtId="0" fontId="8" fillId="5" borderId="1" xfId="0" applyFont="1" applyFill="1" applyBorder="1" applyAlignment="1" applyProtection="1">
      <alignment horizontal="left" vertical="center" indent="2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86</xdr:row>
      <xdr:rowOff>0</xdr:rowOff>
    </xdr:from>
    <xdr:to>
      <xdr:col>0</xdr:col>
      <xdr:colOff>2400000</xdr:colOff>
      <xdr:row>96</xdr:row>
      <xdr:rowOff>201372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41550"/>
          <a:ext cx="2400000" cy="26778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tabSelected="1" zoomScale="85" zoomScaleNormal="85" workbookViewId="0">
      <selection activeCell="A14" sqref="A14"/>
    </sheetView>
  </sheetViews>
  <sheetFormatPr defaultColWidth="9.1796875" defaultRowHeight="19.5" customHeight="1" x14ac:dyDescent="0.4"/>
  <cols>
    <col min="1" max="1" width="59.453125" style="5" customWidth="1"/>
    <col min="2" max="2" width="12.26953125" style="5" bestFit="1" customWidth="1"/>
    <col min="3" max="3" width="22.26953125" style="5" customWidth="1"/>
    <col min="4" max="4" width="10.7265625" style="5" customWidth="1"/>
    <col min="5" max="5" width="17.7265625" style="5" customWidth="1"/>
    <col min="6" max="6" width="9.1796875" style="5" customWidth="1"/>
    <col min="7" max="7" width="21.1796875" style="5" customWidth="1"/>
    <col min="8" max="8" width="16.54296875" style="5" customWidth="1"/>
    <col min="9" max="9" width="21.54296875" style="5" customWidth="1"/>
    <col min="10" max="10" width="34.453125" style="5" customWidth="1"/>
    <col min="11" max="11" width="23.54296875" style="6" customWidth="1"/>
    <col min="12" max="16384" width="9.1796875" style="5"/>
  </cols>
  <sheetData>
    <row r="1" spans="1:11" ht="19.5" customHeight="1" x14ac:dyDescent="0.4">
      <c r="A1" s="147" t="s">
        <v>72</v>
      </c>
      <c r="B1" s="147"/>
      <c r="C1" s="147"/>
      <c r="D1" s="147"/>
      <c r="E1" s="147"/>
      <c r="F1" s="147"/>
      <c r="G1" s="147"/>
    </row>
    <row r="2" spans="1:11" ht="19.5" customHeight="1" x14ac:dyDescent="0.4">
      <c r="A2" s="7"/>
      <c r="B2" s="7"/>
      <c r="C2" s="7"/>
      <c r="D2" s="7"/>
      <c r="E2" s="7"/>
      <c r="F2" s="8"/>
      <c r="G2" s="7"/>
      <c r="H2" s="7"/>
    </row>
    <row r="3" spans="1:11" ht="19.5" customHeight="1" x14ac:dyDescent="0.4">
      <c r="A3" s="148" t="s">
        <v>73</v>
      </c>
      <c r="B3" s="149"/>
      <c r="C3" s="149"/>
      <c r="D3" s="149"/>
      <c r="E3" s="149"/>
      <c r="F3" s="149"/>
      <c r="G3" s="149"/>
      <c r="H3" s="7"/>
    </row>
    <row r="4" spans="1:11" ht="19.5" customHeight="1" x14ac:dyDescent="0.4">
      <c r="A4" s="7"/>
      <c r="B4" s="7"/>
      <c r="C4" s="7"/>
      <c r="D4" s="7"/>
      <c r="E4" s="7"/>
      <c r="F4" s="8"/>
      <c r="G4" s="7"/>
      <c r="H4" s="7"/>
    </row>
    <row r="5" spans="1:11" ht="19.5" customHeight="1" x14ac:dyDescent="0.4">
      <c r="A5" s="9" t="s">
        <v>74</v>
      </c>
      <c r="B5" s="150"/>
      <c r="C5" s="150"/>
      <c r="D5" s="10" t="s">
        <v>75</v>
      </c>
      <c r="E5" s="11" t="s">
        <v>76</v>
      </c>
      <c r="F5" s="11"/>
      <c r="G5" s="11"/>
      <c r="H5" s="12"/>
    </row>
    <row r="6" spans="1:11" ht="19.5" customHeight="1" x14ac:dyDescent="0.4">
      <c r="A6" s="9" t="s">
        <v>77</v>
      </c>
      <c r="B6" s="146" t="s">
        <v>78</v>
      </c>
      <c r="C6" s="146"/>
      <c r="D6" s="10" t="s">
        <v>79</v>
      </c>
      <c r="E6" s="151"/>
      <c r="F6" s="151"/>
      <c r="G6" s="151"/>
      <c r="H6" s="12"/>
    </row>
    <row r="7" spans="1:11" ht="19.5" customHeight="1" x14ac:dyDescent="0.4">
      <c r="A7" s="9" t="s">
        <v>80</v>
      </c>
      <c r="B7" s="145">
        <v>44873</v>
      </c>
      <c r="C7" s="146"/>
      <c r="D7" s="10" t="s">
        <v>81</v>
      </c>
      <c r="E7" s="145" t="s">
        <v>82</v>
      </c>
      <c r="F7" s="145"/>
      <c r="G7" s="145"/>
      <c r="H7" s="12"/>
    </row>
    <row r="8" spans="1:11" ht="19.5" customHeight="1" x14ac:dyDescent="0.4">
      <c r="A8" s="9" t="s">
        <v>83</v>
      </c>
      <c r="B8" s="153" t="s">
        <v>84</v>
      </c>
      <c r="C8" s="153"/>
      <c r="D8" s="10" t="s">
        <v>85</v>
      </c>
      <c r="E8" s="154"/>
      <c r="F8" s="154"/>
      <c r="G8" s="154"/>
      <c r="H8" s="12"/>
    </row>
    <row r="9" spans="1:11" ht="19.5" customHeight="1" x14ac:dyDescent="0.4">
      <c r="A9" s="13"/>
      <c r="B9" s="155"/>
      <c r="C9" s="155"/>
      <c r="D9" s="14"/>
      <c r="E9" s="14"/>
      <c r="F9" s="15"/>
      <c r="G9" s="14"/>
      <c r="H9" s="16"/>
    </row>
    <row r="10" spans="1:11" ht="19.5" customHeight="1" x14ac:dyDescent="0.4">
      <c r="A10" s="17" t="s">
        <v>86</v>
      </c>
      <c r="B10" s="18"/>
      <c r="C10" s="19"/>
      <c r="D10" s="20"/>
      <c r="E10" s="21"/>
      <c r="F10" s="22"/>
      <c r="G10" s="21"/>
      <c r="H10" s="16"/>
    </row>
    <row r="11" spans="1:11" ht="19.5" customHeight="1" x14ac:dyDescent="0.4">
      <c r="A11" s="23" t="s">
        <v>87</v>
      </c>
      <c r="B11" s="24" t="s">
        <v>88</v>
      </c>
      <c r="C11" s="25" t="s">
        <v>8</v>
      </c>
      <c r="D11" s="156" t="s">
        <v>89</v>
      </c>
      <c r="E11" s="157"/>
      <c r="F11" s="26" t="s">
        <v>90</v>
      </c>
      <c r="G11" s="24" t="s">
        <v>91</v>
      </c>
      <c r="H11" s="27" t="s">
        <v>92</v>
      </c>
      <c r="J11" s="5" t="s">
        <v>93</v>
      </c>
      <c r="K11" s="6">
        <f>$H$72</f>
        <v>10204190.564102564</v>
      </c>
    </row>
    <row r="12" spans="1:11" ht="19.5" customHeight="1" x14ac:dyDescent="0.4">
      <c r="A12" s="28" t="s">
        <v>94</v>
      </c>
      <c r="B12" s="29">
        <v>39</v>
      </c>
      <c r="C12" s="30">
        <f>9590000-C27</f>
        <v>6140000</v>
      </c>
      <c r="D12" s="152">
        <f>$B12*$C12</f>
        <v>239460000</v>
      </c>
      <c r="E12" s="152"/>
      <c r="F12" s="31">
        <v>0.08</v>
      </c>
      <c r="G12" s="29">
        <f>ROUND($D12/($F12+1),1)</f>
        <v>221722222.19999999</v>
      </c>
      <c r="H12" s="32">
        <f ca="1">G75</f>
        <v>49544266.699999988</v>
      </c>
      <c r="J12" s="5" t="s">
        <v>95</v>
      </c>
      <c r="K12" s="33">
        <f>$C$12+$C$27</f>
        <v>9590000</v>
      </c>
    </row>
    <row r="13" spans="1:11" ht="19.5" customHeight="1" x14ac:dyDescent="0.4">
      <c r="A13" s="166" t="s">
        <v>169</v>
      </c>
      <c r="B13" s="29"/>
      <c r="C13" s="30"/>
      <c r="D13" s="29"/>
      <c r="E13" s="29"/>
      <c r="F13" s="31"/>
      <c r="G13" s="29"/>
      <c r="H13" s="32"/>
      <c r="K13" s="33"/>
    </row>
    <row r="14" spans="1:11" ht="19.5" customHeight="1" x14ac:dyDescent="0.4">
      <c r="A14" s="167" t="s">
        <v>171</v>
      </c>
      <c r="B14" s="29"/>
      <c r="C14" s="30"/>
      <c r="D14" s="29"/>
      <c r="E14" s="29"/>
      <c r="F14" s="31"/>
      <c r="G14" s="29"/>
      <c r="H14" s="32"/>
      <c r="K14" s="33"/>
    </row>
    <row r="15" spans="1:11" ht="19.5" customHeight="1" x14ac:dyDescent="0.4">
      <c r="A15" s="167" t="s">
        <v>172</v>
      </c>
      <c r="B15" s="29"/>
      <c r="C15" s="30"/>
      <c r="D15" s="29"/>
      <c r="E15" s="29"/>
      <c r="F15" s="31"/>
      <c r="G15" s="29"/>
      <c r="H15" s="32"/>
      <c r="K15" s="33"/>
    </row>
    <row r="16" spans="1:11" ht="19.5" customHeight="1" x14ac:dyDescent="0.4">
      <c r="A16" s="28" t="s">
        <v>170</v>
      </c>
      <c r="B16" s="29"/>
      <c r="C16" s="30"/>
      <c r="D16" s="29"/>
      <c r="E16" s="29"/>
      <c r="F16" s="31"/>
      <c r="G16" s="29"/>
      <c r="H16" s="32"/>
      <c r="K16" s="33"/>
    </row>
    <row r="17" spans="1:11" ht="19.5" customHeight="1" x14ac:dyDescent="0.4">
      <c r="A17" s="28"/>
      <c r="B17" s="29"/>
      <c r="C17" s="30"/>
      <c r="D17" s="29"/>
      <c r="E17" s="29"/>
      <c r="F17" s="31"/>
      <c r="G17" s="29"/>
      <c r="H17" s="32"/>
      <c r="K17" s="33"/>
    </row>
    <row r="18" spans="1:11" ht="19.5" customHeight="1" x14ac:dyDescent="0.4">
      <c r="A18" s="28" t="s">
        <v>168</v>
      </c>
      <c r="B18" s="29"/>
      <c r="C18" s="30"/>
      <c r="D18" s="29"/>
      <c r="E18" s="29"/>
      <c r="F18" s="31"/>
      <c r="G18" s="29"/>
      <c r="H18" s="32"/>
      <c r="K18" s="33"/>
    </row>
    <row r="19" spans="1:11" ht="19.5" customHeight="1" x14ac:dyDescent="0.4">
      <c r="A19" s="28" t="s">
        <v>96</v>
      </c>
      <c r="B19" s="29">
        <v>1</v>
      </c>
      <c r="C19" s="30">
        <f>6500000-C27</f>
        <v>3050000</v>
      </c>
      <c r="D19" s="152">
        <f t="shared" ref="D19:D25" si="0">$B19*$C19</f>
        <v>3050000</v>
      </c>
      <c r="E19" s="152"/>
      <c r="F19" s="31">
        <v>0.08</v>
      </c>
      <c r="G19" s="29">
        <f t="shared" ref="G19:G25" si="1">ROUND($D19/($F19+1),1)</f>
        <v>2824074.1</v>
      </c>
      <c r="H19" s="32"/>
      <c r="K19" s="33"/>
    </row>
    <row r="20" spans="1:11" ht="19.5" customHeight="1" x14ac:dyDescent="0.4">
      <c r="A20" s="28" t="s">
        <v>97</v>
      </c>
      <c r="B20" s="29">
        <v>2</v>
      </c>
      <c r="C20" s="30">
        <f>-(265000+200000+200000)+200000</f>
        <v>-465000</v>
      </c>
      <c r="D20" s="152">
        <f>$B20*$C20</f>
        <v>-930000</v>
      </c>
      <c r="E20" s="152"/>
      <c r="F20" s="31">
        <v>0.08</v>
      </c>
      <c r="G20" s="29">
        <f>ROUND($D20/($F20+1),1)</f>
        <v>-861111.1</v>
      </c>
      <c r="H20" s="32"/>
      <c r="K20" s="33"/>
    </row>
    <row r="21" spans="1:11" ht="19.5" customHeight="1" x14ac:dyDescent="0.4">
      <c r="A21" s="28" t="s">
        <v>98</v>
      </c>
      <c r="B21" s="29">
        <v>1</v>
      </c>
      <c r="C21" s="30">
        <f>8990000-C27</f>
        <v>5540000</v>
      </c>
      <c r="D21" s="152">
        <f>$B21*$C21</f>
        <v>5540000</v>
      </c>
      <c r="E21" s="152"/>
      <c r="F21" s="31">
        <v>0.08</v>
      </c>
      <c r="G21" s="29">
        <f>ROUND($D21/($F21+1),1)</f>
        <v>5129629.5999999996</v>
      </c>
      <c r="H21" s="32"/>
      <c r="K21" s="33"/>
    </row>
    <row r="22" spans="1:11" ht="19.5" customHeight="1" x14ac:dyDescent="0.4">
      <c r="A22" s="34" t="s">
        <v>99</v>
      </c>
      <c r="B22" s="35">
        <v>1</v>
      </c>
      <c r="C22" s="35">
        <f>9490000-C27</f>
        <v>6040000</v>
      </c>
      <c r="D22" s="152">
        <f>$B22*$C22</f>
        <v>6040000</v>
      </c>
      <c r="E22" s="152"/>
      <c r="F22" s="31">
        <v>0.08</v>
      </c>
      <c r="G22" s="29">
        <f>ROUND($D22/($F22+1),1)</f>
        <v>5592592.5999999996</v>
      </c>
      <c r="H22" s="36">
        <f ca="1">G77</f>
        <v>0.11763732543784777</v>
      </c>
      <c r="J22" s="5" t="s">
        <v>100</v>
      </c>
      <c r="K22" s="6">
        <f>$K$12-$K$11</f>
        <v>-614190.56410256401</v>
      </c>
    </row>
    <row r="23" spans="1:11" ht="19.5" customHeight="1" x14ac:dyDescent="0.4">
      <c r="A23" s="28" t="s">
        <v>101</v>
      </c>
      <c r="B23" s="29">
        <v>4</v>
      </c>
      <c r="C23" s="30">
        <v>230000</v>
      </c>
      <c r="D23" s="152">
        <f>$B23*$C23</f>
        <v>920000</v>
      </c>
      <c r="E23" s="152"/>
      <c r="F23" s="31">
        <v>0.08</v>
      </c>
      <c r="G23" s="29">
        <f>ROUND($D23/($F23+1),1)</f>
        <v>851851.9</v>
      </c>
      <c r="H23" s="32"/>
      <c r="K23" s="33"/>
    </row>
    <row r="24" spans="1:11" ht="19.5" customHeight="1" x14ac:dyDescent="0.4">
      <c r="A24" s="28" t="s">
        <v>102</v>
      </c>
      <c r="B24" s="29">
        <v>4</v>
      </c>
      <c r="C24" s="30">
        <v>470000</v>
      </c>
      <c r="D24" s="152">
        <f t="shared" si="0"/>
        <v>1880000</v>
      </c>
      <c r="E24" s="152"/>
      <c r="F24" s="31">
        <v>0.08</v>
      </c>
      <c r="G24" s="29">
        <f t="shared" si="1"/>
        <v>1740740.7</v>
      </c>
      <c r="H24" s="32"/>
      <c r="K24" s="33"/>
    </row>
    <row r="25" spans="1:11" ht="19.5" customHeight="1" x14ac:dyDescent="0.4">
      <c r="A25" s="28" t="s">
        <v>103</v>
      </c>
      <c r="B25" s="29">
        <v>1</v>
      </c>
      <c r="C25" s="30">
        <f>(34*620000)+(2*470000)+(1*470000)</f>
        <v>22490000</v>
      </c>
      <c r="D25" s="152">
        <f t="shared" si="0"/>
        <v>22490000</v>
      </c>
      <c r="E25" s="152"/>
      <c r="F25" s="31">
        <v>0.08</v>
      </c>
      <c r="G25" s="29">
        <f t="shared" si="1"/>
        <v>20824074.100000001</v>
      </c>
      <c r="H25" s="32"/>
      <c r="K25" s="33"/>
    </row>
    <row r="26" spans="1:11" ht="19.5" customHeight="1" x14ac:dyDescent="0.4">
      <c r="A26" s="37" t="s">
        <v>104</v>
      </c>
      <c r="B26" s="38"/>
      <c r="C26" s="38"/>
      <c r="D26" s="160">
        <f>SUM(D12:E25)</f>
        <v>278450000</v>
      </c>
      <c r="E26" s="160"/>
      <c r="F26" s="39"/>
      <c r="G26" s="40">
        <f>SUM($G12:$G25)</f>
        <v>257824074.09999996</v>
      </c>
      <c r="H26" s="41"/>
      <c r="K26" s="33"/>
    </row>
    <row r="27" spans="1:11" ht="19.5" customHeight="1" x14ac:dyDescent="0.4">
      <c r="A27" s="42" t="s">
        <v>105</v>
      </c>
      <c r="B27" s="29">
        <v>44</v>
      </c>
      <c r="C27" s="43">
        <f>3450000</f>
        <v>3450000</v>
      </c>
      <c r="D27" s="152">
        <f>$B27*$C27</f>
        <v>151800000</v>
      </c>
      <c r="E27" s="152"/>
      <c r="F27" s="31">
        <v>0.08</v>
      </c>
      <c r="G27" s="29">
        <f>ROUND(D27/(F27+1),1)</f>
        <v>140555555.59999999</v>
      </c>
      <c r="H27" s="44"/>
      <c r="I27" s="45"/>
    </row>
    <row r="28" spans="1:11" ht="19.5" customHeight="1" x14ac:dyDescent="0.4">
      <c r="A28" s="42" t="s">
        <v>106</v>
      </c>
      <c r="B28" s="29">
        <v>4</v>
      </c>
      <c r="C28" s="43">
        <v>2600000</v>
      </c>
      <c r="D28" s="152">
        <f t="shared" ref="D28:D30" si="2">$B28*$C28</f>
        <v>10400000</v>
      </c>
      <c r="E28" s="152"/>
      <c r="F28" s="31">
        <v>0.08</v>
      </c>
      <c r="G28" s="29">
        <f t="shared" ref="G28:G30" si="3">ROUND(D28/(F28+1),1)</f>
        <v>9629629.5999999996</v>
      </c>
      <c r="H28" s="44"/>
      <c r="I28" s="45"/>
    </row>
    <row r="29" spans="1:11" ht="19.5" customHeight="1" x14ac:dyDescent="0.4">
      <c r="A29" s="42" t="s">
        <v>107</v>
      </c>
      <c r="B29" s="29">
        <v>2</v>
      </c>
      <c r="C29" s="43">
        <v>1035000</v>
      </c>
      <c r="D29" s="152">
        <f t="shared" si="2"/>
        <v>2070000</v>
      </c>
      <c r="E29" s="152"/>
      <c r="F29" s="31">
        <v>0.08</v>
      </c>
      <c r="G29" s="29">
        <f t="shared" si="3"/>
        <v>1916666.7</v>
      </c>
      <c r="H29" s="44"/>
      <c r="J29" s="5" t="s">
        <v>108</v>
      </c>
    </row>
    <row r="30" spans="1:11" ht="19.5" customHeight="1" x14ac:dyDescent="0.4">
      <c r="A30" s="42" t="s">
        <v>109</v>
      </c>
      <c r="B30" s="29">
        <v>1</v>
      </c>
      <c r="C30" s="29">
        <f>(2*4217000)+(2*1850000)</f>
        <v>12134000</v>
      </c>
      <c r="D30" s="152">
        <f t="shared" si="2"/>
        <v>12134000</v>
      </c>
      <c r="E30" s="152"/>
      <c r="F30" s="31">
        <v>0.08</v>
      </c>
      <c r="G30" s="29">
        <f t="shared" si="3"/>
        <v>11235185.199999999</v>
      </c>
      <c r="H30" s="46"/>
      <c r="I30" s="47"/>
      <c r="J30" s="48">
        <f>$D$32-95900000-206185000-74145000</f>
        <v>78624000</v>
      </c>
    </row>
    <row r="31" spans="1:11" ht="19.5" customHeight="1" x14ac:dyDescent="0.4">
      <c r="A31" s="37" t="s">
        <v>110</v>
      </c>
      <c r="B31" s="38"/>
      <c r="C31" s="38"/>
      <c r="D31" s="160">
        <f>SUM(D27:E30)</f>
        <v>176404000</v>
      </c>
      <c r="E31" s="160"/>
      <c r="F31" s="39"/>
      <c r="G31" s="40">
        <f>SUM($G27:$G30)</f>
        <v>163337037.09999996</v>
      </c>
      <c r="H31" s="49"/>
      <c r="J31" s="48"/>
    </row>
    <row r="32" spans="1:11" ht="19.5" customHeight="1" x14ac:dyDescent="0.8">
      <c r="A32" s="50" t="s">
        <v>111</v>
      </c>
      <c r="B32" s="40"/>
      <c r="C32" s="40"/>
      <c r="D32" s="160">
        <f>$D26+$D31</f>
        <v>454854000</v>
      </c>
      <c r="E32" s="160"/>
      <c r="F32" s="51"/>
      <c r="G32" s="52">
        <f>$G26+$G31</f>
        <v>421161111.19999993</v>
      </c>
      <c r="H32" s="41"/>
      <c r="I32" s="5" t="s">
        <v>112</v>
      </c>
      <c r="J32" s="48">
        <f>$D$32-82474000-74145000-95900000</f>
        <v>202335000</v>
      </c>
    </row>
    <row r="33" spans="1:10" ht="19.5" customHeight="1" x14ac:dyDescent="0.8">
      <c r="A33" s="53" t="s">
        <v>113</v>
      </c>
      <c r="B33" s="54"/>
      <c r="C33" s="55"/>
      <c r="D33" s="162"/>
      <c r="E33" s="162"/>
      <c r="F33" s="56"/>
      <c r="G33" s="57">
        <f>$D32-$G32</f>
        <v>33692888.800000072</v>
      </c>
      <c r="H33" s="44"/>
      <c r="I33" s="45" t="s">
        <v>114</v>
      </c>
      <c r="J33" s="48">
        <f>$D$32-95900000</f>
        <v>358954000</v>
      </c>
    </row>
    <row r="34" spans="1:10" ht="19.5" customHeight="1" x14ac:dyDescent="0.4">
      <c r="A34" s="17" t="s">
        <v>115</v>
      </c>
      <c r="B34" s="58"/>
      <c r="C34" s="59"/>
      <c r="D34" s="59"/>
      <c r="E34" s="59"/>
      <c r="F34" s="60"/>
      <c r="G34" s="59"/>
      <c r="H34" s="16"/>
    </row>
    <row r="35" spans="1:10" ht="34.5" customHeight="1" x14ac:dyDescent="0.4">
      <c r="A35" s="61" t="s">
        <v>87</v>
      </c>
      <c r="B35" s="62" t="s">
        <v>7</v>
      </c>
      <c r="C35" s="23" t="s">
        <v>8</v>
      </c>
      <c r="D35" s="63" t="s">
        <v>116</v>
      </c>
      <c r="E35" s="63" t="s">
        <v>117</v>
      </c>
      <c r="F35" s="64" t="s">
        <v>118</v>
      </c>
      <c r="G35" s="63" t="s">
        <v>119</v>
      </c>
      <c r="H35" s="63" t="s">
        <v>5</v>
      </c>
    </row>
    <row r="36" spans="1:10" ht="19.5" customHeight="1" x14ac:dyDescent="0.4">
      <c r="A36" s="65" t="s">
        <v>10</v>
      </c>
      <c r="B36" s="66"/>
      <c r="C36" s="67"/>
      <c r="D36" s="67"/>
      <c r="E36" s="67">
        <f>SUM(E37:E42)</f>
        <v>183042752</v>
      </c>
      <c r="F36" s="68"/>
      <c r="G36" s="67">
        <f>SUM(G37:G42)</f>
        <v>169484029.70000002</v>
      </c>
      <c r="H36" s="69"/>
    </row>
    <row r="37" spans="1:10" ht="18" x14ac:dyDescent="0.4">
      <c r="A37" s="42" t="s">
        <v>120</v>
      </c>
      <c r="B37" s="70">
        <v>1</v>
      </c>
      <c r="C37" s="29">
        <v>37003248</v>
      </c>
      <c r="D37" s="29">
        <v>1</v>
      </c>
      <c r="E37" s="29">
        <f>$B37*$C37*$D37</f>
        <v>37003248</v>
      </c>
      <c r="F37" s="31">
        <v>0.08</v>
      </c>
      <c r="G37" s="29">
        <f t="shared" ref="G37:G41" si="4">ROUND(E37/(1+F37),1)</f>
        <v>34262266.700000003</v>
      </c>
      <c r="H37" s="71"/>
    </row>
    <row r="38" spans="1:10" ht="19.5" customHeight="1" x14ac:dyDescent="0.4">
      <c r="A38" s="42" t="s">
        <v>121</v>
      </c>
      <c r="B38" s="70">
        <v>1</v>
      </c>
      <c r="C38" s="29">
        <v>82551504</v>
      </c>
      <c r="D38" s="29">
        <v>1</v>
      </c>
      <c r="E38" s="29">
        <f>$B38*$C38*$D38</f>
        <v>82551504</v>
      </c>
      <c r="F38" s="31">
        <v>0.08</v>
      </c>
      <c r="G38" s="29">
        <f>ROUND(E38/(1+F38),1)</f>
        <v>76436577.799999997</v>
      </c>
      <c r="H38" s="72" t="s">
        <v>122</v>
      </c>
    </row>
    <row r="39" spans="1:10" ht="19.5" customHeight="1" x14ac:dyDescent="0.4">
      <c r="A39" s="73" t="s">
        <v>123</v>
      </c>
      <c r="B39" s="70">
        <v>1</v>
      </c>
      <c r="C39" s="29">
        <v>15498000</v>
      </c>
      <c r="D39" s="72">
        <v>1</v>
      </c>
      <c r="E39" s="29">
        <f>$B39*$C39*$D39</f>
        <v>15498000</v>
      </c>
      <c r="F39" s="31">
        <v>0.08</v>
      </c>
      <c r="G39" s="29">
        <f>ROUND(E39/(1+F39),1)</f>
        <v>14350000</v>
      </c>
      <c r="H39" s="72"/>
    </row>
    <row r="40" spans="1:10" ht="19.5" customHeight="1" x14ac:dyDescent="0.4">
      <c r="A40" s="42" t="s">
        <v>124</v>
      </c>
      <c r="B40" s="70">
        <v>4</v>
      </c>
      <c r="C40" s="29">
        <v>5934000</v>
      </c>
      <c r="D40" s="29">
        <v>1</v>
      </c>
      <c r="E40" s="29">
        <f t="shared" ref="E40:E41" si="5">$B40*$C40*$D40</f>
        <v>23736000</v>
      </c>
      <c r="F40" s="31">
        <v>0.08</v>
      </c>
      <c r="G40" s="29">
        <f t="shared" si="4"/>
        <v>21977777.800000001</v>
      </c>
      <c r="H40" s="72"/>
      <c r="J40" s="74"/>
    </row>
    <row r="41" spans="1:10" ht="19.5" customHeight="1" x14ac:dyDescent="0.4">
      <c r="A41" s="42" t="s">
        <v>125</v>
      </c>
      <c r="B41" s="70">
        <v>1</v>
      </c>
      <c r="C41" s="29">
        <f>(2*4017000)+(2*1610000)</f>
        <v>11254000</v>
      </c>
      <c r="D41" s="29">
        <v>1</v>
      </c>
      <c r="E41" s="29">
        <f t="shared" si="5"/>
        <v>11254000</v>
      </c>
      <c r="F41" s="31">
        <v>0.08</v>
      </c>
      <c r="G41" s="29">
        <f t="shared" si="4"/>
        <v>10420370.4</v>
      </c>
      <c r="H41" s="72"/>
      <c r="J41" s="74"/>
    </row>
    <row r="42" spans="1:10" ht="19.5" customHeight="1" x14ac:dyDescent="0.4">
      <c r="A42" s="42" t="s">
        <v>126</v>
      </c>
      <c r="B42" s="70">
        <v>1</v>
      </c>
      <c r="C42" s="29">
        <v>13000000</v>
      </c>
      <c r="D42" s="29">
        <v>1</v>
      </c>
      <c r="E42" s="29">
        <f>$B42*$C42*$D42</f>
        <v>13000000</v>
      </c>
      <c r="F42" s="31">
        <v>0.08</v>
      </c>
      <c r="G42" s="29">
        <f>ROUND(E42/(1+F42),1)</f>
        <v>12037037</v>
      </c>
      <c r="H42" s="72"/>
    </row>
    <row r="43" spans="1:10" ht="19.5" customHeight="1" x14ac:dyDescent="0.4">
      <c r="A43" s="75" t="s">
        <v>127</v>
      </c>
      <c r="B43" s="76"/>
      <c r="C43" s="77"/>
      <c r="D43" s="77"/>
      <c r="E43" s="77">
        <f>SUM(E44:E46)</f>
        <v>95500000</v>
      </c>
      <c r="F43" s="78"/>
      <c r="G43" s="77">
        <f>SUM(G44:G46)</f>
        <v>88425925.899999991</v>
      </c>
      <c r="H43" s="79"/>
    </row>
    <row r="44" spans="1:10" ht="19.5" customHeight="1" x14ac:dyDescent="0.4">
      <c r="A44" s="42" t="s">
        <v>128</v>
      </c>
      <c r="B44" s="70">
        <v>20</v>
      </c>
      <c r="C44" s="29">
        <v>1500000</v>
      </c>
      <c r="D44" s="29">
        <v>3</v>
      </c>
      <c r="E44" s="29">
        <f>$B44*$C44*$D44</f>
        <v>90000000</v>
      </c>
      <c r="F44" s="31">
        <v>0.08</v>
      </c>
      <c r="G44" s="29">
        <f t="shared" ref="G44:G45" si="6">ROUND(E44/(1+F44),1)</f>
        <v>83333333.299999997</v>
      </c>
      <c r="H44" s="80"/>
    </row>
    <row r="45" spans="1:10" ht="19.5" customHeight="1" x14ac:dyDescent="0.4">
      <c r="A45" s="42" t="s">
        <v>128</v>
      </c>
      <c r="B45" s="70">
        <v>1</v>
      </c>
      <c r="C45" s="29">
        <v>1500000</v>
      </c>
      <c r="D45" s="29">
        <v>2</v>
      </c>
      <c r="E45" s="29">
        <f>$B45*$C45*$D45</f>
        <v>3000000</v>
      </c>
      <c r="F45" s="31">
        <v>0.08</v>
      </c>
      <c r="G45" s="29">
        <f t="shared" si="6"/>
        <v>2777777.8</v>
      </c>
      <c r="H45" s="80"/>
    </row>
    <row r="46" spans="1:10" ht="19.5" customHeight="1" x14ac:dyDescent="0.4">
      <c r="A46" s="42" t="s">
        <v>153</v>
      </c>
      <c r="B46" s="90">
        <v>1</v>
      </c>
      <c r="C46" s="85">
        <v>2500000</v>
      </c>
      <c r="D46" s="29">
        <v>1</v>
      </c>
      <c r="E46" s="29">
        <f>B46*C46*D46</f>
        <v>2500000</v>
      </c>
      <c r="F46" s="31">
        <v>0.08</v>
      </c>
      <c r="G46" s="29">
        <f>ROUND(E46/(1+F46),1)</f>
        <v>2314814.7999999998</v>
      </c>
      <c r="H46" s="80"/>
    </row>
    <row r="47" spans="1:10" ht="19.5" customHeight="1" x14ac:dyDescent="0.4">
      <c r="A47" s="65" t="s">
        <v>29</v>
      </c>
      <c r="B47" s="66"/>
      <c r="C47" s="67"/>
      <c r="D47" s="67"/>
      <c r="E47" s="67">
        <f>SUM(E48:E54)</f>
        <v>53250000</v>
      </c>
      <c r="F47" s="81"/>
      <c r="G47" s="67">
        <f>SUM(G48:G54)</f>
        <v>51178148.099999994</v>
      </c>
      <c r="H47" s="69"/>
    </row>
    <row r="48" spans="1:10" ht="19.5" customHeight="1" x14ac:dyDescent="0.4">
      <c r="A48" s="82" t="s">
        <v>129</v>
      </c>
      <c r="B48" s="83">
        <v>41</v>
      </c>
      <c r="C48" s="84">
        <v>160000</v>
      </c>
      <c r="D48" s="85">
        <v>1</v>
      </c>
      <c r="E48" s="85">
        <f>B48*C48*D48</f>
        <v>6560000</v>
      </c>
      <c r="F48" s="86">
        <v>0</v>
      </c>
      <c r="G48" s="85">
        <f>ROUND(E48/(1+F48),1)</f>
        <v>6560000</v>
      </c>
      <c r="H48" s="82" t="s">
        <v>130</v>
      </c>
    </row>
    <row r="49" spans="1:8" ht="19.5" customHeight="1" x14ac:dyDescent="0.4">
      <c r="A49" s="82" t="s">
        <v>131</v>
      </c>
      <c r="B49" s="83">
        <v>41</v>
      </c>
      <c r="C49" s="84">
        <v>180000</v>
      </c>
      <c r="D49" s="85">
        <v>1</v>
      </c>
      <c r="E49" s="85">
        <f t="shared" ref="E49:E54" si="7">B49*C49*D49</f>
        <v>7380000</v>
      </c>
      <c r="F49" s="86">
        <v>0.08</v>
      </c>
      <c r="G49" s="85">
        <f t="shared" ref="G49:G54" si="8">ROUND(E49/(1+F49),1)</f>
        <v>6833333.2999999998</v>
      </c>
      <c r="H49" s="82" t="s">
        <v>132</v>
      </c>
    </row>
    <row r="50" spans="1:8" ht="19.5" customHeight="1" x14ac:dyDescent="0.4">
      <c r="A50" s="82" t="s">
        <v>133</v>
      </c>
      <c r="B50" s="83">
        <v>41</v>
      </c>
      <c r="C50" s="84">
        <v>170000</v>
      </c>
      <c r="D50" s="85">
        <v>1</v>
      </c>
      <c r="E50" s="85">
        <f t="shared" si="7"/>
        <v>6970000</v>
      </c>
      <c r="F50" s="86">
        <v>0.08</v>
      </c>
      <c r="G50" s="85">
        <f t="shared" si="8"/>
        <v>6453703.7000000002</v>
      </c>
      <c r="H50" s="82" t="s">
        <v>33</v>
      </c>
    </row>
    <row r="51" spans="1:8" ht="19.5" customHeight="1" x14ac:dyDescent="0.4">
      <c r="A51" s="82" t="s">
        <v>134</v>
      </c>
      <c r="B51" s="83">
        <v>41</v>
      </c>
      <c r="C51" s="84">
        <v>180000</v>
      </c>
      <c r="D51" s="85">
        <v>1</v>
      </c>
      <c r="E51" s="85">
        <f t="shared" si="7"/>
        <v>7380000</v>
      </c>
      <c r="F51" s="86">
        <v>0.08</v>
      </c>
      <c r="G51" s="85">
        <f t="shared" si="8"/>
        <v>6833333.2999999998</v>
      </c>
      <c r="H51" s="82" t="s">
        <v>135</v>
      </c>
    </row>
    <row r="52" spans="1:8" ht="19.5" customHeight="1" x14ac:dyDescent="0.4">
      <c r="A52" s="82" t="s">
        <v>136</v>
      </c>
      <c r="B52" s="83">
        <v>39</v>
      </c>
      <c r="C52" s="84">
        <v>250000</v>
      </c>
      <c r="D52" s="85">
        <v>1</v>
      </c>
      <c r="E52" s="85">
        <v>11700000</v>
      </c>
      <c r="F52" s="86">
        <v>0</v>
      </c>
      <c r="G52" s="85">
        <f t="shared" si="8"/>
        <v>11700000</v>
      </c>
      <c r="H52" s="82" t="s">
        <v>137</v>
      </c>
    </row>
    <row r="53" spans="1:8" ht="19.5" customHeight="1" x14ac:dyDescent="0.4">
      <c r="A53" s="82" t="s">
        <v>138</v>
      </c>
      <c r="B53" s="83">
        <v>39</v>
      </c>
      <c r="C53" s="84">
        <v>180000</v>
      </c>
      <c r="D53" s="85">
        <v>1</v>
      </c>
      <c r="E53" s="85">
        <f t="shared" si="7"/>
        <v>7020000</v>
      </c>
      <c r="F53" s="86">
        <v>0</v>
      </c>
      <c r="G53" s="85">
        <f t="shared" si="8"/>
        <v>7020000</v>
      </c>
      <c r="H53" s="82" t="s">
        <v>139</v>
      </c>
    </row>
    <row r="54" spans="1:8" ht="19.5" customHeight="1" x14ac:dyDescent="0.4">
      <c r="A54" s="28" t="s">
        <v>140</v>
      </c>
      <c r="B54" s="83">
        <v>39</v>
      </c>
      <c r="C54" s="85">
        <v>160000</v>
      </c>
      <c r="D54" s="85">
        <v>1</v>
      </c>
      <c r="E54" s="85">
        <f t="shared" si="7"/>
        <v>6240000</v>
      </c>
      <c r="F54" s="86">
        <v>0.08</v>
      </c>
      <c r="G54" s="85">
        <f t="shared" si="8"/>
        <v>5777777.7999999998</v>
      </c>
      <c r="H54" s="28" t="s">
        <v>141</v>
      </c>
    </row>
    <row r="55" spans="1:8" ht="19.5" customHeight="1" x14ac:dyDescent="0.4">
      <c r="A55" s="65" t="s">
        <v>142</v>
      </c>
      <c r="B55" s="66"/>
      <c r="C55" s="67"/>
      <c r="D55" s="67"/>
      <c r="E55" s="67">
        <f>SUM(E56:E59)</f>
        <v>51221000</v>
      </c>
      <c r="F55" s="81"/>
      <c r="G55" s="67">
        <f>SUM($G56:$G59)</f>
        <v>47426851.900000006</v>
      </c>
      <c r="H55" s="69"/>
    </row>
    <row r="56" spans="1:8" ht="19.5" customHeight="1" x14ac:dyDescent="0.4">
      <c r="A56" s="42" t="s">
        <v>143</v>
      </c>
      <c r="B56" s="70">
        <v>39</v>
      </c>
      <c r="C56" s="87">
        <v>655000</v>
      </c>
      <c r="D56" s="29">
        <v>1</v>
      </c>
      <c r="E56" s="29">
        <f>$B56*$C56*$D56</f>
        <v>25545000</v>
      </c>
      <c r="F56" s="31">
        <v>0.08</v>
      </c>
      <c r="G56" s="29">
        <f>ROUND($E56/(1+$F56),1)</f>
        <v>23652777.800000001</v>
      </c>
      <c r="H56" s="72"/>
    </row>
    <row r="57" spans="1:8" ht="19.5" customHeight="1" x14ac:dyDescent="0.4">
      <c r="A57" s="42" t="s">
        <v>144</v>
      </c>
      <c r="B57" s="70">
        <v>3</v>
      </c>
      <c r="C57" s="87">
        <v>442000</v>
      </c>
      <c r="D57" s="29">
        <v>1</v>
      </c>
      <c r="E57" s="29">
        <f t="shared" ref="E57" si="9">$B57*$C57*$D57</f>
        <v>1326000</v>
      </c>
      <c r="F57" s="31">
        <v>0.08</v>
      </c>
      <c r="G57" s="29">
        <f t="shared" ref="G57" si="10">ROUND($E57/(1+$F57),1)</f>
        <v>1227777.8</v>
      </c>
      <c r="H57" s="88"/>
    </row>
    <row r="58" spans="1:8" ht="19.5" customHeight="1" x14ac:dyDescent="0.4">
      <c r="A58" s="42" t="s">
        <v>145</v>
      </c>
      <c r="B58" s="70">
        <v>1</v>
      </c>
      <c r="C58" s="87">
        <v>21670000</v>
      </c>
      <c r="D58" s="29">
        <v>1</v>
      </c>
      <c r="E58" s="29">
        <f>$B58*$C58*$D58</f>
        <v>21670000</v>
      </c>
      <c r="F58" s="31">
        <v>0.08</v>
      </c>
      <c r="G58" s="29">
        <f>ROUND($E58/(1+$F58),1)</f>
        <v>20064814.800000001</v>
      </c>
      <c r="H58" s="89"/>
    </row>
    <row r="59" spans="1:8" ht="19.5" customHeight="1" x14ac:dyDescent="0.4">
      <c r="A59" s="42" t="s">
        <v>146</v>
      </c>
      <c r="B59" s="70">
        <v>1</v>
      </c>
      <c r="C59" s="87">
        <v>2680000</v>
      </c>
      <c r="D59" s="29">
        <v>1</v>
      </c>
      <c r="E59" s="29">
        <f>$B59*$C59*$D59</f>
        <v>2680000</v>
      </c>
      <c r="F59" s="31">
        <v>0.08</v>
      </c>
      <c r="G59" s="29">
        <f>ROUND($E59/(1+$F59),1)</f>
        <v>2481481.5</v>
      </c>
      <c r="H59" s="88" t="s">
        <v>147</v>
      </c>
    </row>
    <row r="60" spans="1:8" ht="19.5" customHeight="1" x14ac:dyDescent="0.4">
      <c r="A60" s="65" t="s">
        <v>148</v>
      </c>
      <c r="B60" s="66"/>
      <c r="C60" s="67"/>
      <c r="D60" s="67"/>
      <c r="E60" s="67">
        <f>SUM($E61:$E62)</f>
        <v>5433000</v>
      </c>
      <c r="F60" s="81"/>
      <c r="G60" s="67">
        <f>SUM(G61:G62)</f>
        <v>5433000</v>
      </c>
      <c r="H60" s="69"/>
    </row>
    <row r="61" spans="1:8" ht="19.5" customHeight="1" x14ac:dyDescent="0.4">
      <c r="A61" s="42" t="s">
        <v>149</v>
      </c>
      <c r="B61" s="90">
        <v>1</v>
      </c>
      <c r="C61" s="29">
        <v>4933000</v>
      </c>
      <c r="D61" s="29">
        <v>1</v>
      </c>
      <c r="E61" s="29">
        <f>B61*C61*D61</f>
        <v>4933000</v>
      </c>
      <c r="F61" s="31">
        <v>0</v>
      </c>
      <c r="G61" s="29">
        <f>ROUND(E61/(1+F61),1)</f>
        <v>4933000</v>
      </c>
      <c r="H61" s="80"/>
    </row>
    <row r="62" spans="1:8" ht="19.5" customHeight="1" x14ac:dyDescent="0.4">
      <c r="A62" s="42" t="s">
        <v>150</v>
      </c>
      <c r="B62" s="90">
        <v>1</v>
      </c>
      <c r="C62" s="29">
        <v>500000</v>
      </c>
      <c r="D62" s="29">
        <v>1</v>
      </c>
      <c r="E62" s="29">
        <f>B62*C62*D62</f>
        <v>500000</v>
      </c>
      <c r="F62" s="31">
        <v>0</v>
      </c>
      <c r="G62" s="29">
        <f>ROUND(E62/(1+F62),1)</f>
        <v>500000</v>
      </c>
      <c r="H62" s="80" t="s">
        <v>151</v>
      </c>
    </row>
    <row r="63" spans="1:8" ht="19.5" customHeight="1" x14ac:dyDescent="0.4">
      <c r="A63" s="65" t="s">
        <v>152</v>
      </c>
      <c r="B63" s="66"/>
      <c r="C63" s="67"/>
      <c r="D63" s="67"/>
      <c r="E63" s="67">
        <f>SUM(E64:E65)</f>
        <v>6220000</v>
      </c>
      <c r="F63" s="81"/>
      <c r="G63" s="67">
        <f ca="1">SUM(G46:G65)</f>
        <v>8414814.8000000007</v>
      </c>
      <c r="H63" s="67"/>
    </row>
    <row r="64" spans="1:8" ht="19.5" customHeight="1" x14ac:dyDescent="0.4">
      <c r="A64" s="42" t="s">
        <v>154</v>
      </c>
      <c r="B64" s="90">
        <v>1</v>
      </c>
      <c r="C64" s="85">
        <v>5800000</v>
      </c>
      <c r="D64" s="29">
        <v>1</v>
      </c>
      <c r="E64" s="29">
        <f t="shared" ref="E64:E65" si="11">B64*C64*D64</f>
        <v>5800000</v>
      </c>
      <c r="F64" s="31">
        <v>0.08</v>
      </c>
      <c r="G64" s="29">
        <f t="shared" ref="G64:G65" si="12">ROUND(E64/(1+F64),1)</f>
        <v>5370370.4000000004</v>
      </c>
      <c r="H64" s="80" t="s">
        <v>155</v>
      </c>
    </row>
    <row r="65" spans="1:8" ht="19.5" customHeight="1" x14ac:dyDescent="0.4">
      <c r="A65" s="42" t="s">
        <v>161</v>
      </c>
      <c r="B65" s="90">
        <v>1</v>
      </c>
      <c r="C65" s="85">
        <v>420000</v>
      </c>
      <c r="D65" s="29">
        <v>1</v>
      </c>
      <c r="E65" s="29">
        <f t="shared" si="11"/>
        <v>420000</v>
      </c>
      <c r="F65" s="31">
        <v>0</v>
      </c>
      <c r="G65" s="29">
        <f t="shared" si="12"/>
        <v>420000</v>
      </c>
      <c r="H65" s="80"/>
    </row>
    <row r="66" spans="1:8" ht="19.5" customHeight="1" x14ac:dyDescent="0.4">
      <c r="A66" s="65" t="s">
        <v>156</v>
      </c>
      <c r="B66" s="66"/>
      <c r="C66" s="67"/>
      <c r="D66" s="67"/>
      <c r="E66" s="67">
        <f>SUM(E67:E71)</f>
        <v>3296680</v>
      </c>
      <c r="F66" s="81"/>
      <c r="G66" s="67">
        <f>SUM(G67:G71)</f>
        <v>3072481.5</v>
      </c>
      <c r="H66" s="67"/>
    </row>
    <row r="67" spans="1:8" ht="19.5" customHeight="1" x14ac:dyDescent="0.4">
      <c r="A67" s="91" t="s">
        <v>157</v>
      </c>
      <c r="B67" s="70">
        <v>1</v>
      </c>
      <c r="C67" s="92">
        <v>1056000</v>
      </c>
      <c r="D67" s="93">
        <v>1</v>
      </c>
      <c r="E67" s="29">
        <f t="shared" ref="E67:E71" si="13">B67*C67*D67</f>
        <v>1056000</v>
      </c>
      <c r="F67" s="31">
        <v>0.08</v>
      </c>
      <c r="G67" s="29">
        <f t="shared" ref="G67:G71" si="14">ROUND(E67/(1+F67),1)</f>
        <v>977777.8</v>
      </c>
      <c r="H67" s="80"/>
    </row>
    <row r="68" spans="1:8" ht="19.5" customHeight="1" x14ac:dyDescent="0.4">
      <c r="A68" s="91" t="s">
        <v>158</v>
      </c>
      <c r="B68" s="70">
        <v>1</v>
      </c>
      <c r="C68" s="92">
        <v>70000</v>
      </c>
      <c r="D68" s="93">
        <v>1</v>
      </c>
      <c r="E68" s="29">
        <f t="shared" si="13"/>
        <v>70000</v>
      </c>
      <c r="F68" s="31">
        <v>0</v>
      </c>
      <c r="G68" s="29">
        <f t="shared" si="14"/>
        <v>70000</v>
      </c>
      <c r="H68" s="80"/>
    </row>
    <row r="69" spans="1:8" ht="19.5" customHeight="1" x14ac:dyDescent="0.4">
      <c r="A69" s="91" t="s">
        <v>159</v>
      </c>
      <c r="B69" s="70">
        <v>1</v>
      </c>
      <c r="C69" s="92">
        <f>4*1*50000</f>
        <v>200000</v>
      </c>
      <c r="D69" s="93">
        <v>1</v>
      </c>
      <c r="E69" s="29">
        <f t="shared" si="13"/>
        <v>200000</v>
      </c>
      <c r="F69" s="31">
        <v>0</v>
      </c>
      <c r="G69" s="29">
        <f t="shared" si="14"/>
        <v>200000</v>
      </c>
      <c r="H69" s="80"/>
    </row>
    <row r="70" spans="1:8" ht="19.5" customHeight="1" x14ac:dyDescent="0.4">
      <c r="A70" s="91" t="s">
        <v>34</v>
      </c>
      <c r="B70" s="70">
        <v>1</v>
      </c>
      <c r="C70" s="92">
        <v>814000</v>
      </c>
      <c r="D70" s="93">
        <v>1</v>
      </c>
      <c r="E70" s="29">
        <f t="shared" si="13"/>
        <v>814000</v>
      </c>
      <c r="F70" s="31">
        <v>0.08</v>
      </c>
      <c r="G70" s="29">
        <f t="shared" si="14"/>
        <v>753703.7</v>
      </c>
      <c r="H70" s="80"/>
    </row>
    <row r="71" spans="1:8" ht="19.5" customHeight="1" x14ac:dyDescent="0.4">
      <c r="A71" s="91" t="s">
        <v>160</v>
      </c>
      <c r="B71" s="70">
        <v>42</v>
      </c>
      <c r="C71" s="92">
        <v>27540</v>
      </c>
      <c r="D71" s="93">
        <v>1</v>
      </c>
      <c r="E71" s="29">
        <f t="shared" si="13"/>
        <v>1156680</v>
      </c>
      <c r="F71" s="31">
        <v>0.08</v>
      </c>
      <c r="G71" s="29">
        <f t="shared" si="14"/>
        <v>1071000</v>
      </c>
      <c r="H71" s="80"/>
    </row>
    <row r="72" spans="1:8" ht="19.5" customHeight="1" x14ac:dyDescent="0.8">
      <c r="A72" s="94" t="s">
        <v>117</v>
      </c>
      <c r="B72" s="95"/>
      <c r="C72" s="96"/>
      <c r="D72" s="96"/>
      <c r="E72" s="97">
        <f>$E$36+$E$43+$E$47+$E$55+$E$60+$E$66+$E$63</f>
        <v>397963432</v>
      </c>
      <c r="F72" s="98"/>
      <c r="G72" s="97">
        <f ca="1">$G$36+$G$43+$G$47+$G$55+$G$60+$G$66+$G$63</f>
        <v>371616844.49999994</v>
      </c>
      <c r="H72" s="97">
        <f>$E$72/$B$12</f>
        <v>10204190.564102564</v>
      </c>
    </row>
    <row r="73" spans="1:8" ht="19.5" customHeight="1" x14ac:dyDescent="0.4">
      <c r="A73" s="9"/>
      <c r="B73" s="58"/>
      <c r="C73" s="59"/>
      <c r="D73" s="59"/>
      <c r="E73" s="59"/>
      <c r="F73" s="60"/>
      <c r="G73" s="59"/>
      <c r="H73" s="16"/>
    </row>
    <row r="74" spans="1:8" ht="19.5" customHeight="1" x14ac:dyDescent="0.4">
      <c r="A74" s="9"/>
      <c r="B74" s="99"/>
      <c r="C74" s="10"/>
      <c r="D74" s="10"/>
      <c r="E74" s="10"/>
      <c r="F74" s="100"/>
      <c r="G74" s="10"/>
      <c r="H74" s="16"/>
    </row>
    <row r="75" spans="1:8" ht="19.5" customHeight="1" x14ac:dyDescent="0.4">
      <c r="A75" s="101" t="s">
        <v>162</v>
      </c>
      <c r="B75" s="102"/>
      <c r="C75" s="102"/>
      <c r="D75" s="102"/>
      <c r="E75" s="102"/>
      <c r="F75" s="103"/>
      <c r="G75" s="104">
        <f ca="1">$G$32-$G$72</f>
        <v>49544266.699999988</v>
      </c>
      <c r="H75" s="105"/>
    </row>
    <row r="76" spans="1:8" ht="19.5" customHeight="1" x14ac:dyDescent="0.4">
      <c r="A76" s="106"/>
      <c r="B76" s="107"/>
      <c r="C76" s="108"/>
      <c r="D76" s="108"/>
      <c r="E76" s="108"/>
      <c r="F76" s="109"/>
      <c r="G76" s="110"/>
      <c r="H76" s="111"/>
    </row>
    <row r="77" spans="1:8" ht="19.5" customHeight="1" x14ac:dyDescent="0.4">
      <c r="A77" s="112" t="s">
        <v>163</v>
      </c>
      <c r="B77" s="113"/>
      <c r="C77" s="113"/>
      <c r="D77" s="113"/>
      <c r="E77" s="113"/>
      <c r="F77" s="114"/>
      <c r="G77" s="115">
        <f ca="1">$G$75/$G$32</f>
        <v>0.11763732543784777</v>
      </c>
      <c r="H77" s="105"/>
    </row>
    <row r="78" spans="1:8" ht="19.5" customHeight="1" x14ac:dyDescent="0.4">
      <c r="A78" s="106"/>
      <c r="B78" s="113"/>
      <c r="C78" s="113"/>
      <c r="D78" s="113"/>
      <c r="E78" s="113"/>
      <c r="F78" s="114"/>
      <c r="G78" s="116"/>
      <c r="H78" s="105"/>
    </row>
    <row r="79" spans="1:8" ht="19.5" customHeight="1" x14ac:dyDescent="0.4">
      <c r="A79" s="117" t="s">
        <v>164</v>
      </c>
      <c r="B79" s="118"/>
      <c r="C79" s="118"/>
      <c r="D79" s="118"/>
      <c r="E79" s="118"/>
      <c r="F79" s="118"/>
      <c r="G79" s="119">
        <f ca="1">$G$75/$G$26</f>
        <v>0.19216307427049534</v>
      </c>
      <c r="H79" s="12"/>
    </row>
    <row r="80" spans="1:8" ht="19.5" customHeight="1" x14ac:dyDescent="0.4">
      <c r="A80" s="12"/>
      <c r="B80" s="88"/>
      <c r="C80" s="120"/>
      <c r="D80" s="88"/>
      <c r="E80" s="163" t="s">
        <v>165</v>
      </c>
      <c r="F80" s="163"/>
      <c r="G80" s="163"/>
      <c r="H80" s="12"/>
    </row>
    <row r="81" spans="1:8" ht="19.5" customHeight="1" x14ac:dyDescent="0.4">
      <c r="A81" s="12"/>
      <c r="B81" s="88"/>
      <c r="C81" s="120"/>
      <c r="D81" s="88"/>
      <c r="E81" s="121"/>
      <c r="F81" s="121"/>
      <c r="G81" s="121"/>
      <c r="H81" s="12"/>
    </row>
    <row r="82" spans="1:8" ht="19.5" customHeight="1" x14ac:dyDescent="0.4">
      <c r="A82" s="122"/>
      <c r="B82" s="158"/>
      <c r="C82" s="158"/>
      <c r="D82" s="158"/>
      <c r="E82" s="158"/>
      <c r="F82" s="159" t="s">
        <v>166</v>
      </c>
      <c r="G82" s="159"/>
      <c r="H82" s="12"/>
    </row>
    <row r="85" spans="1:8" ht="19.5" customHeight="1" x14ac:dyDescent="0.4">
      <c r="D85" s="161"/>
      <c r="E85" s="161"/>
      <c r="F85" s="161" t="s">
        <v>167</v>
      </c>
      <c r="G85" s="161"/>
    </row>
  </sheetData>
  <mergeCells count="33">
    <mergeCell ref="D85:E85"/>
    <mergeCell ref="F85:G85"/>
    <mergeCell ref="D32:E32"/>
    <mergeCell ref="D33:E33"/>
    <mergeCell ref="E80:G80"/>
    <mergeCell ref="B82:C82"/>
    <mergeCell ref="D82:E82"/>
    <mergeCell ref="F82:G82"/>
    <mergeCell ref="D26:E26"/>
    <mergeCell ref="D27:E27"/>
    <mergeCell ref="D28:E28"/>
    <mergeCell ref="D29:E29"/>
    <mergeCell ref="D30:E30"/>
    <mergeCell ref="D31:E31"/>
    <mergeCell ref="D25:E25"/>
    <mergeCell ref="B8:C8"/>
    <mergeCell ref="E8:G8"/>
    <mergeCell ref="B9:C9"/>
    <mergeCell ref="D11:E11"/>
    <mergeCell ref="D12:E12"/>
    <mergeCell ref="D19:E19"/>
    <mergeCell ref="D20:E20"/>
    <mergeCell ref="D21:E21"/>
    <mergeCell ref="D22:E22"/>
    <mergeCell ref="D23:E23"/>
    <mergeCell ref="D24:E24"/>
    <mergeCell ref="B7:C7"/>
    <mergeCell ref="E7:G7"/>
    <mergeCell ref="A1:G1"/>
    <mergeCell ref="A3:G3"/>
    <mergeCell ref="B5:C5"/>
    <mergeCell ref="B6:C6"/>
    <mergeCell ref="E6:G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workbookViewId="0">
      <selection activeCell="A33" sqref="A33"/>
    </sheetView>
  </sheetViews>
  <sheetFormatPr defaultRowHeight="14.5" x14ac:dyDescent="0.35"/>
  <cols>
    <col min="1" max="1" width="17.453125" customWidth="1"/>
    <col min="2" max="2" width="23.54296875" customWidth="1"/>
    <col min="3" max="3" width="11.26953125" customWidth="1"/>
    <col min="4" max="4" width="6.54296875" bestFit="1" customWidth="1"/>
    <col min="5" max="5" width="9.453125" customWidth="1"/>
    <col min="6" max="6" width="13.26953125" style="1" bestFit="1" customWidth="1"/>
    <col min="7" max="7" width="15.1796875" style="1" customWidth="1"/>
    <col min="8" max="8" width="39.453125" style="3" customWidth="1"/>
    <col min="9" max="9" width="13.26953125" customWidth="1"/>
    <col min="11" max="11" width="13" customWidth="1"/>
  </cols>
  <sheetData>
    <row r="1" spans="1:9" ht="20" x14ac:dyDescent="0.4">
      <c r="A1" s="123" t="s">
        <v>0</v>
      </c>
      <c r="B1" s="124"/>
      <c r="C1" s="124"/>
      <c r="D1" s="124"/>
      <c r="E1" s="124"/>
      <c r="F1" s="125"/>
      <c r="G1" s="125"/>
      <c r="H1" s="126"/>
      <c r="I1" s="124"/>
    </row>
    <row r="2" spans="1:9" x14ac:dyDescent="0.35">
      <c r="A2" s="127" t="s">
        <v>19</v>
      </c>
      <c r="B2" s="127" t="s">
        <v>31</v>
      </c>
      <c r="C2" s="127"/>
      <c r="D2" s="127"/>
      <c r="E2" s="124"/>
      <c r="F2" s="125"/>
      <c r="G2" s="125"/>
      <c r="H2" s="126"/>
      <c r="I2" s="124"/>
    </row>
    <row r="3" spans="1:9" x14ac:dyDescent="0.35">
      <c r="A3" s="127" t="s">
        <v>20</v>
      </c>
      <c r="B3" s="127" t="s">
        <v>32</v>
      </c>
      <c r="C3" s="127"/>
      <c r="D3" s="127"/>
      <c r="E3" s="124"/>
      <c r="F3" s="125"/>
      <c r="G3" s="125"/>
      <c r="H3" s="126"/>
      <c r="I3" s="124"/>
    </row>
    <row r="4" spans="1:9" x14ac:dyDescent="0.35">
      <c r="A4" s="127" t="s">
        <v>66</v>
      </c>
      <c r="B4" s="128" t="s">
        <v>69</v>
      </c>
      <c r="C4" s="127"/>
      <c r="D4" s="127"/>
      <c r="E4" s="124"/>
      <c r="F4" s="125"/>
      <c r="G4" s="125"/>
      <c r="H4" s="126"/>
      <c r="I4" s="124"/>
    </row>
    <row r="5" spans="1:9" s="3" customFormat="1" ht="28.5" x14ac:dyDescent="0.35">
      <c r="A5" s="129" t="s">
        <v>1</v>
      </c>
      <c r="B5" s="129" t="s">
        <v>2</v>
      </c>
      <c r="C5" s="129" t="s">
        <v>6</v>
      </c>
      <c r="D5" s="129" t="s">
        <v>3</v>
      </c>
      <c r="E5" s="129" t="s">
        <v>7</v>
      </c>
      <c r="F5" s="130" t="s">
        <v>8</v>
      </c>
      <c r="G5" s="130" t="s">
        <v>9</v>
      </c>
      <c r="H5" s="129" t="s">
        <v>4</v>
      </c>
      <c r="I5" s="129" t="s">
        <v>5</v>
      </c>
    </row>
    <row r="6" spans="1:9" x14ac:dyDescent="0.35">
      <c r="A6" s="131" t="s">
        <v>10</v>
      </c>
      <c r="B6" s="132"/>
      <c r="C6" s="132"/>
      <c r="D6" s="132"/>
      <c r="E6" s="132"/>
      <c r="F6" s="133"/>
      <c r="G6" s="133">
        <f>SUM(G7:G8)</f>
        <v>183042752</v>
      </c>
      <c r="H6" s="134"/>
      <c r="I6" s="135"/>
    </row>
    <row r="7" spans="1:9" x14ac:dyDescent="0.35">
      <c r="A7" s="136"/>
      <c r="B7" s="135" t="s">
        <v>37</v>
      </c>
      <c r="C7" s="135"/>
      <c r="D7" s="135" t="s">
        <v>27</v>
      </c>
      <c r="E7" s="135">
        <v>1</v>
      </c>
      <c r="F7" s="137">
        <v>170042752</v>
      </c>
      <c r="G7" s="137">
        <f>E7*F7</f>
        <v>170042752</v>
      </c>
      <c r="H7" s="134"/>
      <c r="I7" s="135"/>
    </row>
    <row r="8" spans="1:9" x14ac:dyDescent="0.35">
      <c r="A8" s="136"/>
      <c r="B8" s="135" t="s">
        <v>38</v>
      </c>
      <c r="C8" s="135"/>
      <c r="D8" s="135" t="s">
        <v>27</v>
      </c>
      <c r="E8" s="135">
        <v>1</v>
      </c>
      <c r="F8" s="137">
        <v>13000000</v>
      </c>
      <c r="G8" s="137">
        <f>E8*F8</f>
        <v>13000000</v>
      </c>
      <c r="H8" s="134" t="s">
        <v>60</v>
      </c>
      <c r="I8" s="135"/>
    </row>
    <row r="9" spans="1:9" x14ac:dyDescent="0.35">
      <c r="A9" s="131" t="s">
        <v>28</v>
      </c>
      <c r="B9" s="132"/>
      <c r="C9" s="132"/>
      <c r="D9" s="132"/>
      <c r="E9" s="132"/>
      <c r="F9" s="133"/>
      <c r="G9" s="133">
        <f>SUM(G10:G10)</f>
        <v>95500000</v>
      </c>
      <c r="H9" s="134"/>
      <c r="I9" s="135"/>
    </row>
    <row r="10" spans="1:9" x14ac:dyDescent="0.35">
      <c r="A10" s="136"/>
      <c r="B10" s="135" t="s">
        <v>35</v>
      </c>
      <c r="C10" s="135"/>
      <c r="D10" s="135">
        <v>1</v>
      </c>
      <c r="E10" s="135">
        <v>1</v>
      </c>
      <c r="F10" s="137">
        <v>95500000</v>
      </c>
      <c r="G10" s="137">
        <f>E10*F10</f>
        <v>95500000</v>
      </c>
      <c r="H10" s="134" t="s">
        <v>52</v>
      </c>
      <c r="I10" s="135"/>
    </row>
    <row r="11" spans="1:9" x14ac:dyDescent="0.35">
      <c r="A11" s="131" t="s">
        <v>11</v>
      </c>
      <c r="B11" s="132"/>
      <c r="C11" s="132"/>
      <c r="D11" s="132"/>
      <c r="E11" s="132"/>
      <c r="F11" s="133"/>
      <c r="G11" s="133">
        <f>SUM(G12:G13)</f>
        <v>5433000</v>
      </c>
      <c r="H11" s="134"/>
      <c r="I11" s="135"/>
    </row>
    <row r="12" spans="1:9" x14ac:dyDescent="0.35">
      <c r="A12" s="136"/>
      <c r="B12" s="135" t="s">
        <v>67</v>
      </c>
      <c r="C12" s="135" t="s">
        <v>30</v>
      </c>
      <c r="D12" s="135">
        <v>1</v>
      </c>
      <c r="E12" s="135">
        <v>1</v>
      </c>
      <c r="F12" s="137">
        <f>2100000+1650000+1183000</f>
        <v>4933000</v>
      </c>
      <c r="G12" s="137">
        <f t="shared" ref="G12" si="0">E12*F12</f>
        <v>4933000</v>
      </c>
      <c r="H12" s="134"/>
      <c r="I12" s="135"/>
    </row>
    <row r="13" spans="1:9" x14ac:dyDescent="0.35">
      <c r="A13" s="136"/>
      <c r="B13" s="135" t="s">
        <v>12</v>
      </c>
      <c r="C13" s="135" t="s">
        <v>36</v>
      </c>
      <c r="D13" s="135">
        <v>1</v>
      </c>
      <c r="E13" s="135">
        <v>1</v>
      </c>
      <c r="F13" s="137">
        <v>500000</v>
      </c>
      <c r="G13" s="137">
        <f t="shared" ref="G13" si="1">E13*F13</f>
        <v>500000</v>
      </c>
      <c r="H13" s="134"/>
      <c r="I13" s="135"/>
    </row>
    <row r="14" spans="1:9" x14ac:dyDescent="0.35">
      <c r="A14" s="131" t="s">
        <v>29</v>
      </c>
      <c r="B14" s="132"/>
      <c r="C14" s="132"/>
      <c r="D14" s="132"/>
      <c r="E14" s="132"/>
      <c r="F14" s="133"/>
      <c r="G14" s="133">
        <f>SUM(G15:G22)</f>
        <v>80121000</v>
      </c>
      <c r="H14" s="134"/>
      <c r="I14" s="135"/>
    </row>
    <row r="15" spans="1:9" x14ac:dyDescent="0.35">
      <c r="A15" s="136"/>
      <c r="B15" s="135" t="s">
        <v>39</v>
      </c>
      <c r="C15" s="135"/>
      <c r="D15" s="135">
        <v>1</v>
      </c>
      <c r="E15" s="135">
        <v>1</v>
      </c>
      <c r="F15" s="137">
        <v>7380000</v>
      </c>
      <c r="G15" s="137">
        <f t="shared" ref="G15" si="2">E15*F15</f>
        <v>7380000</v>
      </c>
      <c r="H15" s="134" t="s">
        <v>58</v>
      </c>
      <c r="I15" s="135"/>
    </row>
    <row r="16" spans="1:9" x14ac:dyDescent="0.35">
      <c r="A16" s="136"/>
      <c r="B16" s="135" t="s">
        <v>42</v>
      </c>
      <c r="C16" s="135"/>
      <c r="D16" s="135">
        <v>1</v>
      </c>
      <c r="E16" s="135">
        <v>1</v>
      </c>
      <c r="F16" s="137">
        <v>7380000</v>
      </c>
      <c r="G16" s="137">
        <f t="shared" ref="G16:G19" si="3">E16*F16</f>
        <v>7380000</v>
      </c>
      <c r="H16" s="134" t="s">
        <v>50</v>
      </c>
      <c r="I16" s="135"/>
    </row>
    <row r="17" spans="1:9" x14ac:dyDescent="0.35">
      <c r="A17" s="136"/>
      <c r="B17" s="135" t="s">
        <v>43</v>
      </c>
      <c r="C17" s="135"/>
      <c r="D17" s="135">
        <v>1</v>
      </c>
      <c r="E17" s="135">
        <v>1</v>
      </c>
      <c r="F17" s="137">
        <v>11700000</v>
      </c>
      <c r="G17" s="138">
        <v>11700000</v>
      </c>
      <c r="H17" s="134" t="s">
        <v>56</v>
      </c>
      <c r="I17" s="135"/>
    </row>
    <row r="18" spans="1:9" x14ac:dyDescent="0.35">
      <c r="A18" s="136"/>
      <c r="B18" s="135" t="s">
        <v>44</v>
      </c>
      <c r="C18" s="135"/>
      <c r="D18" s="135">
        <v>1</v>
      </c>
      <c r="E18" s="135">
        <v>1</v>
      </c>
      <c r="F18" s="137">
        <v>7020000</v>
      </c>
      <c r="G18" s="137">
        <f t="shared" si="3"/>
        <v>7020000</v>
      </c>
      <c r="H18" s="134" t="s">
        <v>55</v>
      </c>
      <c r="I18" s="135"/>
    </row>
    <row r="19" spans="1:9" x14ac:dyDescent="0.35">
      <c r="A19" s="136"/>
      <c r="B19" s="135" t="s">
        <v>45</v>
      </c>
      <c r="C19" s="135"/>
      <c r="D19" s="135">
        <v>1</v>
      </c>
      <c r="E19" s="135">
        <v>1</v>
      </c>
      <c r="F19" s="137">
        <v>26871000</v>
      </c>
      <c r="G19" s="138">
        <f t="shared" si="3"/>
        <v>26871000</v>
      </c>
      <c r="H19" s="134" t="s">
        <v>57</v>
      </c>
      <c r="I19" s="135"/>
    </row>
    <row r="20" spans="1:9" x14ac:dyDescent="0.35">
      <c r="A20" s="136"/>
      <c r="B20" s="135" t="s">
        <v>33</v>
      </c>
      <c r="C20" s="135"/>
      <c r="D20" s="135">
        <v>1</v>
      </c>
      <c r="E20" s="135">
        <v>1</v>
      </c>
      <c r="F20" s="137">
        <v>6970000</v>
      </c>
      <c r="G20" s="137">
        <f t="shared" ref="G20:G21" si="4">E20*F20</f>
        <v>6970000</v>
      </c>
      <c r="H20" s="134" t="s">
        <v>49</v>
      </c>
      <c r="I20" s="135"/>
    </row>
    <row r="21" spans="1:9" x14ac:dyDescent="0.35">
      <c r="A21" s="136"/>
      <c r="B21" s="135" t="s">
        <v>40</v>
      </c>
      <c r="C21" s="135"/>
      <c r="D21" s="135">
        <v>1</v>
      </c>
      <c r="E21" s="135">
        <v>1</v>
      </c>
      <c r="F21" s="137">
        <v>6560000</v>
      </c>
      <c r="G21" s="137">
        <f t="shared" si="4"/>
        <v>6560000</v>
      </c>
      <c r="H21" s="134" t="s">
        <v>51</v>
      </c>
      <c r="I21" s="135"/>
    </row>
    <row r="22" spans="1:9" x14ac:dyDescent="0.35">
      <c r="A22" s="136"/>
      <c r="B22" s="135" t="s">
        <v>41</v>
      </c>
      <c r="C22" s="135"/>
      <c r="D22" s="135">
        <v>1</v>
      </c>
      <c r="E22" s="135">
        <v>1</v>
      </c>
      <c r="F22" s="137">
        <v>6240000</v>
      </c>
      <c r="G22" s="137">
        <f t="shared" ref="G22" si="5">E22*F22</f>
        <v>6240000</v>
      </c>
      <c r="H22" s="134" t="s">
        <v>53</v>
      </c>
      <c r="I22" s="135"/>
    </row>
    <row r="23" spans="1:9" x14ac:dyDescent="0.35">
      <c r="A23" s="131" t="s">
        <v>46</v>
      </c>
      <c r="B23" s="132"/>
      <c r="C23" s="132"/>
      <c r="D23" s="132"/>
      <c r="E23" s="132"/>
      <c r="F23" s="133"/>
      <c r="G23" s="133">
        <f>SUM(G24)</f>
        <v>24350000</v>
      </c>
      <c r="H23" s="134"/>
      <c r="I23" s="135"/>
    </row>
    <row r="24" spans="1:9" x14ac:dyDescent="0.35">
      <c r="A24" s="136"/>
      <c r="B24" s="135" t="s">
        <v>47</v>
      </c>
      <c r="C24" s="135"/>
      <c r="D24" s="135">
        <v>1</v>
      </c>
      <c r="E24" s="135">
        <v>1</v>
      </c>
      <c r="F24" s="137">
        <v>24350000</v>
      </c>
      <c r="G24" s="137">
        <f t="shared" ref="G24" si="6">E24*F24</f>
        <v>24350000</v>
      </c>
      <c r="H24" s="134" t="s">
        <v>54</v>
      </c>
      <c r="I24" s="135" t="s">
        <v>64</v>
      </c>
    </row>
    <row r="25" spans="1:9" x14ac:dyDescent="0.35">
      <c r="A25" s="131" t="s">
        <v>13</v>
      </c>
      <c r="B25" s="132"/>
      <c r="C25" s="132"/>
      <c r="D25" s="132"/>
      <c r="E25" s="132"/>
      <c r="F25" s="133"/>
      <c r="G25" s="133">
        <f>SUM(G26:G31)</f>
        <v>9516680</v>
      </c>
      <c r="H25" s="134"/>
      <c r="I25" s="135"/>
    </row>
    <row r="26" spans="1:9" x14ac:dyDescent="0.35">
      <c r="A26" s="136"/>
      <c r="B26" s="135" t="s">
        <v>22</v>
      </c>
      <c r="C26" s="135"/>
      <c r="D26" s="135"/>
      <c r="E26" s="135">
        <v>1</v>
      </c>
      <c r="F26" s="137">
        <v>1056000</v>
      </c>
      <c r="G26" s="137">
        <f>E26*F26</f>
        <v>1056000</v>
      </c>
      <c r="H26" s="134" t="s">
        <v>59</v>
      </c>
      <c r="I26" s="135"/>
    </row>
    <row r="27" spans="1:9" x14ac:dyDescent="0.35">
      <c r="A27" s="136"/>
      <c r="B27" s="135" t="s">
        <v>48</v>
      </c>
      <c r="C27" s="135"/>
      <c r="D27" s="135"/>
      <c r="E27" s="135">
        <v>1</v>
      </c>
      <c r="F27" s="137">
        <v>1156680</v>
      </c>
      <c r="G27" s="137">
        <f>E27*F27</f>
        <v>1156680</v>
      </c>
      <c r="H27" s="134"/>
      <c r="I27" s="135"/>
    </row>
    <row r="28" spans="1:9" x14ac:dyDescent="0.35">
      <c r="A28" s="136"/>
      <c r="B28" s="135" t="s">
        <v>62</v>
      </c>
      <c r="C28" s="135"/>
      <c r="D28" s="135"/>
      <c r="E28" s="135">
        <v>1</v>
      </c>
      <c r="F28" s="137">
        <v>5800000</v>
      </c>
      <c r="G28" s="137">
        <f t="shared" ref="G28:G29" si="7">E28*F28</f>
        <v>5800000</v>
      </c>
      <c r="H28" s="134" t="s">
        <v>63</v>
      </c>
      <c r="I28" s="135"/>
    </row>
    <row r="29" spans="1:9" x14ac:dyDescent="0.35">
      <c r="A29" s="136"/>
      <c r="B29" s="135" t="s">
        <v>34</v>
      </c>
      <c r="C29" s="135"/>
      <c r="D29" s="135"/>
      <c r="E29" s="135">
        <v>1</v>
      </c>
      <c r="F29" s="137">
        <v>814000</v>
      </c>
      <c r="G29" s="137">
        <f t="shared" si="7"/>
        <v>814000</v>
      </c>
      <c r="H29" s="134" t="s">
        <v>61</v>
      </c>
      <c r="I29" s="135"/>
    </row>
    <row r="30" spans="1:9" ht="15.75" customHeight="1" x14ac:dyDescent="0.35">
      <c r="A30" s="136"/>
      <c r="B30" s="135" t="s">
        <v>68</v>
      </c>
      <c r="C30" s="135"/>
      <c r="D30" s="135"/>
      <c r="E30" s="135">
        <v>1</v>
      </c>
      <c r="F30" s="137">
        <v>420000</v>
      </c>
      <c r="G30" s="137">
        <f t="shared" ref="G30" si="8">E30*F30</f>
        <v>420000</v>
      </c>
      <c r="H30" s="134" t="s">
        <v>71</v>
      </c>
      <c r="I30" s="135"/>
    </row>
    <row r="31" spans="1:9" x14ac:dyDescent="0.35">
      <c r="A31" s="136"/>
      <c r="B31" s="135" t="s">
        <v>23</v>
      </c>
      <c r="C31" s="135"/>
      <c r="D31" s="135"/>
      <c r="E31" s="135">
        <v>1</v>
      </c>
      <c r="F31" s="137">
        <v>270000</v>
      </c>
      <c r="G31" s="137">
        <f>E31*F31</f>
        <v>270000</v>
      </c>
      <c r="H31" s="134" t="s">
        <v>70</v>
      </c>
      <c r="I31" s="135"/>
    </row>
    <row r="32" spans="1:9" x14ac:dyDescent="0.35">
      <c r="A32" s="136" t="s">
        <v>14</v>
      </c>
      <c r="B32" s="135"/>
      <c r="C32" s="135"/>
      <c r="D32" s="135"/>
      <c r="E32" s="135"/>
      <c r="F32" s="137"/>
      <c r="G32" s="139">
        <f>G6+G9+G11+G25+G14+G23</f>
        <v>397963432</v>
      </c>
      <c r="H32" s="134"/>
      <c r="I32" s="135"/>
    </row>
    <row r="33" spans="1:11" x14ac:dyDescent="0.35">
      <c r="A33" s="136" t="s">
        <v>21</v>
      </c>
      <c r="B33" s="135"/>
      <c r="C33" s="135"/>
      <c r="D33" s="135"/>
      <c r="E33" s="135"/>
      <c r="F33" s="137"/>
      <c r="G33" s="137"/>
      <c r="H33" s="140"/>
      <c r="I33" s="135"/>
    </row>
    <row r="34" spans="1:11" x14ac:dyDescent="0.35">
      <c r="A34" s="136" t="s">
        <v>15</v>
      </c>
      <c r="B34" s="135"/>
      <c r="C34" s="135"/>
      <c r="D34" s="135"/>
      <c r="E34" s="135"/>
      <c r="F34" s="137"/>
      <c r="G34" s="139">
        <v>454854000</v>
      </c>
      <c r="H34" s="141"/>
      <c r="I34" s="135"/>
      <c r="K34" s="1"/>
    </row>
    <row r="35" spans="1:11" x14ac:dyDescent="0.35">
      <c r="A35" s="136" t="s">
        <v>16</v>
      </c>
      <c r="B35" s="135"/>
      <c r="C35" s="135"/>
      <c r="D35" s="135"/>
      <c r="E35" s="135"/>
      <c r="F35" s="137"/>
      <c r="G35" s="137">
        <f>G34-G32</f>
        <v>56890568</v>
      </c>
      <c r="H35" s="134"/>
      <c r="I35" s="135"/>
    </row>
    <row r="36" spans="1:11" x14ac:dyDescent="0.35">
      <c r="A36" s="142" t="s">
        <v>17</v>
      </c>
      <c r="B36" s="124"/>
      <c r="C36" s="143" t="s">
        <v>24</v>
      </c>
      <c r="D36" s="124"/>
      <c r="E36" s="144"/>
      <c r="F36" s="164" t="s">
        <v>18</v>
      </c>
      <c r="G36" s="164"/>
      <c r="H36" s="126"/>
      <c r="I36" s="124"/>
    </row>
    <row r="39" spans="1:11" x14ac:dyDescent="0.35">
      <c r="A39" t="s">
        <v>25</v>
      </c>
      <c r="C39" s="2" t="s">
        <v>65</v>
      </c>
      <c r="E39" s="4"/>
      <c r="F39" s="165" t="s">
        <v>26</v>
      </c>
      <c r="G39" s="165"/>
    </row>
    <row r="40" spans="1:11" x14ac:dyDescent="0.35">
      <c r="C40" s="2"/>
      <c r="E40" s="4"/>
      <c r="F40" s="165"/>
      <c r="G40" s="165"/>
    </row>
  </sheetData>
  <mergeCells count="3">
    <mergeCell ref="F36:G36"/>
    <mergeCell ref="F40:G40"/>
    <mergeCell ref="F39:G39"/>
  </mergeCells>
  <pageMargins left="0.33" right="0.17" top="0.2" bottom="0.17" header="0.17" footer="0.17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du tru chi phi Quotation</vt:lpstr>
      <vt:lpstr>Bang Quyết tóan hoan thanh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THANH</dc:creator>
  <cp:lastModifiedBy>Tung Nguyen</cp:lastModifiedBy>
  <cp:lastPrinted>2022-08-26T04:57:56Z</cp:lastPrinted>
  <dcterms:created xsi:type="dcterms:W3CDTF">2022-05-28T02:33:27Z</dcterms:created>
  <dcterms:modified xsi:type="dcterms:W3CDTF">2022-10-24T07:23:43Z</dcterms:modified>
</cp:coreProperties>
</file>