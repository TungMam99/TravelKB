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sttouristco-my.sharepoint.com/personal/hue_ngo_tsttourist_com/Documents/TST/9. PHAN MEM/TRIPOTA/Data Demo/"/>
    </mc:Choice>
  </mc:AlternateContent>
  <xr:revisionPtr revIDLastSave="33" documentId="13_ncr:1_{2AF897A1-5FC3-4C2F-ADCB-7DF7820200C2}" xr6:coauthVersionLast="47" xr6:coauthVersionMax="47" xr10:uidLastSave="{53A28F18-C358-45F6-AED5-87661469775D}"/>
  <bookViews>
    <workbookView xWindow="-110" yWindow="-110" windowWidth="38620" windowHeight="21220" xr2:uid="{00000000-000D-0000-FFFF-FFFF00000000}"/>
  </bookViews>
  <sheets>
    <sheet name="BKK - PTY" sheetId="19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9" l="1"/>
  <c r="G29" i="19" s="1"/>
  <c r="G34" i="19"/>
  <c r="G38" i="19"/>
  <c r="F37" i="19"/>
  <c r="F48" i="19"/>
  <c r="G43" i="19"/>
  <c r="G42" i="19"/>
  <c r="G41" i="19"/>
  <c r="G40" i="19"/>
  <c r="D37" i="19"/>
  <c r="G37" i="19"/>
  <c r="G36" i="19"/>
  <c r="D35" i="19"/>
  <c r="G35" i="19" s="1"/>
  <c r="H34" i="19"/>
  <c r="J33" i="19"/>
  <c r="H33" i="19"/>
  <c r="D32" i="19"/>
  <c r="E32" i="19"/>
  <c r="D31" i="19"/>
  <c r="G31" i="19" s="1"/>
  <c r="H30" i="19"/>
  <c r="H29" i="19" s="1"/>
  <c r="G27" i="19"/>
  <c r="D26" i="19"/>
  <c r="G26" i="19" s="1"/>
  <c r="D25" i="19"/>
  <c r="G25" i="19" s="1"/>
  <c r="D24" i="19"/>
  <c r="G24" i="19" s="1"/>
  <c r="D23" i="19"/>
  <c r="G23" i="19" s="1"/>
  <c r="H22" i="19"/>
  <c r="H16" i="19"/>
  <c r="D48" i="19" s="1"/>
  <c r="H28" i="19" l="1"/>
  <c r="D46" i="19"/>
  <c r="G46" i="19" s="1"/>
  <c r="G44" i="19" s="1"/>
  <c r="G33" i="19" s="1"/>
  <c r="D39" i="19"/>
  <c r="D45" i="19" s="1"/>
  <c r="G45" i="19" s="1"/>
  <c r="G22" i="19"/>
  <c r="G21" i="19" s="1"/>
  <c r="G32" i="19"/>
  <c r="D49" i="19"/>
  <c r="G49" i="19" s="1"/>
  <c r="G48" i="19"/>
  <c r="D50" i="19"/>
  <c r="G50" i="19" s="1"/>
  <c r="G39" i="19"/>
  <c r="G28" i="19" l="1"/>
  <c r="G47" i="19"/>
  <c r="G51" i="19" l="1"/>
  <c r="G52" i="19" s="1"/>
  <c r="J16" i="19"/>
  <c r="G55" i="19" l="1"/>
  <c r="G56" i="19" l="1"/>
  <c r="G57" i="19" s="1"/>
  <c r="G58" i="19" s="1"/>
  <c r="G59" i="19" s="1"/>
  <c r="G54" i="19"/>
</calcChain>
</file>

<file path=xl/sharedStrings.xml><?xml version="1.0" encoding="utf-8"?>
<sst xmlns="http://schemas.openxmlformats.org/spreadsheetml/2006/main" count="98" uniqueCount="96">
  <si>
    <t>ĐỀ XUẤT DUYỆT GIÁ BÁN TOUR DU LỊCH NƯỚC NGOÀI</t>
  </si>
  <si>
    <t xml:space="preserve">Kính gửi: </t>
  </si>
  <si>
    <t>BLĐ Công ty</t>
  </si>
  <si>
    <t xml:space="preserve">Tôi tên: </t>
  </si>
  <si>
    <t>Kính đề nghi Ban lãnh đạo Cty duyệt giá bán cho đoàn khách theo thông tin chi tiết dưới đây</t>
  </si>
  <si>
    <t>A.</t>
  </si>
  <si>
    <t>THÔNG TIN CHUNG</t>
  </si>
  <si>
    <t>Hành trình</t>
  </si>
  <si>
    <t>CODE</t>
  </si>
  <si>
    <t>Khởi hành</t>
  </si>
  <si>
    <t>Đi</t>
  </si>
  <si>
    <t>Về</t>
  </si>
  <si>
    <t>Ngày tour</t>
  </si>
  <si>
    <t>Booking HK</t>
  </si>
  <si>
    <t>Khách hàng</t>
  </si>
  <si>
    <t>Địa chỉ</t>
  </si>
  <si>
    <t>MST</t>
  </si>
  <si>
    <t>Số lượng khách</t>
  </si>
  <si>
    <t>N. lớn</t>
  </si>
  <si>
    <t>Trẻ em</t>
  </si>
  <si>
    <t>Trẻ nhỏ</t>
  </si>
  <si>
    <t>HDV</t>
  </si>
  <si>
    <t>Cộng</t>
  </si>
  <si>
    <t>Đối tác land</t>
  </si>
  <si>
    <t>Phương thức thanh toán</t>
  </si>
  <si>
    <t>Trước KH</t>
  </si>
  <si>
    <t>sau kết thúc tour</t>
  </si>
  <si>
    <t>Dự kiến:</t>
  </si>
  <si>
    <t>B.</t>
  </si>
  <si>
    <t xml:space="preserve">CHIẾT TÍNH </t>
  </si>
  <si>
    <t>STT</t>
  </si>
  <si>
    <t>Nội dung</t>
  </si>
  <si>
    <t>SL</t>
  </si>
  <si>
    <t>Đơn giá</t>
  </si>
  <si>
    <t>Tỷ giá</t>
  </si>
  <si>
    <t>Thành tiền</t>
  </si>
  <si>
    <t>Thuế VAT</t>
  </si>
  <si>
    <t>Chứng từ</t>
  </si>
  <si>
    <t>Ghi chú</t>
  </si>
  <si>
    <t>I/</t>
  </si>
  <si>
    <t>DOANH THU</t>
  </si>
  <si>
    <t>GIÁ BÁN</t>
  </si>
  <si>
    <t>Thu khác</t>
  </si>
  <si>
    <t>II/</t>
  </si>
  <si>
    <t>CHI PHÍ:</t>
  </si>
  <si>
    <t>VẬN CHUYỂN</t>
  </si>
  <si>
    <t>Vé máy bay</t>
  </si>
  <si>
    <t>DỊCH VỤ</t>
  </si>
  <si>
    <t>Dịch vụ nước ngoài</t>
  </si>
  <si>
    <t>Chi phí TL + Hỗ trợ</t>
  </si>
  <si>
    <t>Công tác phí TL</t>
  </si>
  <si>
    <t>Điện thoại</t>
  </si>
  <si>
    <t>Taxi</t>
  </si>
  <si>
    <t>Thức ăn khô</t>
  </si>
  <si>
    <t>Chi phí trong nước</t>
  </si>
  <si>
    <t>Quà tặng</t>
  </si>
  <si>
    <t>Chi phí visa</t>
  </si>
  <si>
    <t>Phí LSQ</t>
  </si>
  <si>
    <t>III.</t>
  </si>
  <si>
    <t>LÃI GỘP:</t>
  </si>
  <si>
    <t>VAT nộp bổ sung</t>
  </si>
  <si>
    <t>Thuế nộp hộ</t>
  </si>
  <si>
    <t>Lãi gộp 1 khách</t>
  </si>
  <si>
    <t>Lãi gộp cả đoàn</t>
  </si>
  <si>
    <t>Tỷ lệ lãi gộp</t>
  </si>
  <si>
    <t>Thưởng kinh doanh</t>
  </si>
  <si>
    <t>Lãi gộp sau khi thưởng</t>
  </si>
  <si>
    <t>Tỷ lệ lãi gộp sau khi thưởng</t>
  </si>
  <si>
    <t>Ý kiến Lãnh Đạo Khối</t>
  </si>
  <si>
    <t>LĐ đơn vị KD</t>
  </si>
  <si>
    <t>Sale phụ trách</t>
  </si>
  <si>
    <t>Ý Kiến Ban Tổng Giám Đốc</t>
  </si>
  <si>
    <t>Ký tên:</t>
  </si>
  <si>
    <t>Ngày:</t>
  </si>
  <si>
    <t xml:space="preserve">Bảo hiểm AIG </t>
  </si>
  <si>
    <t>VMB ADL + Tax</t>
  </si>
  <si>
    <t>Phí dịch vụ trung tâm</t>
  </si>
  <si>
    <t xml:space="preserve">Phí dịch thuật </t>
  </si>
  <si>
    <t>Giá người lớn nhóm 1</t>
  </si>
  <si>
    <t>Nhân sự Khối Kinh Doanh</t>
  </si>
  <si>
    <t>KHỐI KINH DOANH</t>
  </si>
  <si>
    <t>PHÒNG KINH DOANH KHÁCH HÀNG DOANH NGHIỆP 03</t>
  </si>
  <si>
    <t>Tip driver (5 ngày)</t>
  </si>
  <si>
    <t>Giá trẻ em</t>
  </si>
  <si>
    <t>PTC</t>
  </si>
  <si>
    <t>Single Supplement</t>
  </si>
  <si>
    <t>Dự kiến</t>
  </si>
  <si>
    <t>Land ADL Hotel 4*</t>
  </si>
  <si>
    <t>Tip T/L (5 ngày)</t>
  </si>
  <si>
    <t xml:space="preserve">Ngày 4 đêm </t>
  </si>
  <si>
    <t>BANGKOK - PATTAYA</t>
  </si>
  <si>
    <t>VJ801 SGN BKK 0835 1005
VJ806 BKK SGN 1955 2125</t>
  </si>
  <si>
    <t>Nguyễn Văn A</t>
  </si>
  <si>
    <t>CÔNG TY ABC</t>
  </si>
  <si>
    <t>Giá Net</t>
  </si>
  <si>
    <t>VMB TL  (vé đoàn VJ)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</si>
</sst>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.5"/>
      <color rgb="FFFF0000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b/>
      <sz val="11.5"/>
      <color rgb="FF0000C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2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/>
    </xf>
    <xf numFmtId="164" fontId="2" fillId="2" borderId="2" xfId="2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4" xfId="1" applyFont="1" applyFill="1" applyBorder="1" applyAlignment="1">
      <alignment horizontal="center" vertical="center"/>
    </xf>
    <xf numFmtId="164" fontId="2" fillId="2" borderId="0" xfId="2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5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164" fontId="2" fillId="2" borderId="0" xfId="2" applyNumberFormat="1" applyFont="1" applyFill="1" applyAlignment="1">
      <alignment horizontal="center" vertical="center"/>
    </xf>
    <xf numFmtId="0" fontId="7" fillId="2" borderId="0" xfId="1" applyFont="1" applyFill="1" applyAlignment="1">
      <alignment vertical="center"/>
    </xf>
    <xf numFmtId="164" fontId="7" fillId="2" borderId="26" xfId="1" applyNumberFormat="1" applyFont="1" applyFill="1" applyBorder="1" applyAlignment="1">
      <alignment horizontal="center" vertical="center"/>
    </xf>
    <xf numFmtId="164" fontId="7" fillId="2" borderId="39" xfId="1" applyNumberFormat="1" applyFont="1" applyFill="1" applyBorder="1" applyAlignment="1">
      <alignment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0" xfId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5" xfId="1" applyFont="1" applyFill="1" applyBorder="1" applyAlignment="1">
      <alignment vertical="center"/>
    </xf>
    <xf numFmtId="0" fontId="9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vertical="center"/>
    </xf>
    <xf numFmtId="0" fontId="9" fillId="2" borderId="7" xfId="1" applyFont="1" applyFill="1" applyBorder="1" applyAlignment="1">
      <alignment vertical="center"/>
    </xf>
    <xf numFmtId="0" fontId="9" fillId="2" borderId="8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vertical="center"/>
    </xf>
    <xf numFmtId="0" fontId="8" fillId="2" borderId="13" xfId="1" applyFont="1" applyFill="1" applyBorder="1" applyAlignment="1">
      <alignment vertical="center"/>
    </xf>
    <xf numFmtId="0" fontId="8" fillId="2" borderId="17" xfId="1" applyFont="1" applyFill="1" applyBorder="1" applyAlignment="1">
      <alignment vertical="center"/>
    </xf>
    <xf numFmtId="0" fontId="7" fillId="2" borderId="18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left" vertical="center"/>
    </xf>
    <xf numFmtId="0" fontId="7" fillId="2" borderId="19" xfId="1" applyFont="1" applyFill="1" applyBorder="1" applyAlignment="1">
      <alignment vertical="center"/>
    </xf>
    <xf numFmtId="14" fontId="8" fillId="2" borderId="19" xfId="2" quotePrefix="1" applyNumberFormat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left" vertical="center"/>
    </xf>
    <xf numFmtId="0" fontId="8" fillId="2" borderId="19" xfId="1" quotePrefix="1" applyFont="1" applyFill="1" applyBorder="1" applyAlignment="1">
      <alignment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164" fontId="7" fillId="2" borderId="19" xfId="2" applyNumberFormat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164" fontId="7" fillId="2" borderId="19" xfId="2" applyNumberFormat="1" applyFont="1" applyFill="1" applyBorder="1" applyAlignment="1">
      <alignment vertical="center"/>
    </xf>
    <xf numFmtId="0" fontId="7" fillId="2" borderId="19" xfId="1" applyFont="1" applyFill="1" applyBorder="1" applyAlignment="1">
      <alignment horizontal="right" vertical="center"/>
    </xf>
    <xf numFmtId="0" fontId="8" fillId="2" borderId="19" xfId="1" applyFont="1" applyFill="1" applyBorder="1" applyAlignment="1">
      <alignment horizontal="right" vertical="center"/>
    </xf>
    <xf numFmtId="43" fontId="7" fillId="2" borderId="19" xfId="1" applyNumberFormat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vertical="center"/>
    </xf>
    <xf numFmtId="9" fontId="7" fillId="2" borderId="30" xfId="1" applyNumberFormat="1" applyFont="1" applyFill="1" applyBorder="1" applyAlignment="1">
      <alignment horizontal="right" vertical="center"/>
    </xf>
    <xf numFmtId="0" fontId="7" fillId="2" borderId="30" xfId="1" applyFont="1" applyFill="1" applyBorder="1" applyAlignment="1">
      <alignment horizontal="center" vertical="center"/>
    </xf>
    <xf numFmtId="9" fontId="7" fillId="2" borderId="30" xfId="1" applyNumberFormat="1" applyFont="1" applyFill="1" applyBorder="1" applyAlignment="1">
      <alignment vertical="center"/>
    </xf>
    <xf numFmtId="14" fontId="7" fillId="2" borderId="31" xfId="1" applyNumberFormat="1" applyFont="1" applyFill="1" applyBorder="1" applyAlignment="1">
      <alignment vertical="center"/>
    </xf>
    <xf numFmtId="0" fontId="7" fillId="2" borderId="0" xfId="1" applyFont="1" applyFill="1" applyAlignment="1">
      <alignment horizontal="left" vertical="center"/>
    </xf>
    <xf numFmtId="0" fontId="8" fillId="3" borderId="32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164" fontId="8" fillId="3" borderId="33" xfId="2" applyNumberFormat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vertical="center"/>
    </xf>
    <xf numFmtId="0" fontId="8" fillId="3" borderId="34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vertical="center"/>
    </xf>
    <xf numFmtId="3" fontId="8" fillId="2" borderId="28" xfId="1" applyNumberFormat="1" applyFont="1" applyFill="1" applyBorder="1" applyAlignment="1">
      <alignment horizontal="center" vertical="center"/>
    </xf>
    <xf numFmtId="164" fontId="8" fillId="2" borderId="28" xfId="2" applyNumberFormat="1" applyFont="1" applyFill="1" applyBorder="1" applyAlignment="1">
      <alignment horizontal="center" vertical="center"/>
    </xf>
    <xf numFmtId="164" fontId="8" fillId="2" borderId="28" xfId="2" applyNumberFormat="1" applyFont="1" applyFill="1" applyBorder="1" applyAlignment="1">
      <alignment vertical="center"/>
    </xf>
    <xf numFmtId="164" fontId="7" fillId="2" borderId="28" xfId="1" applyNumberFormat="1" applyFont="1" applyFill="1" applyBorder="1" applyAlignment="1">
      <alignment horizontal="center" vertical="center"/>
    </xf>
    <xf numFmtId="164" fontId="7" fillId="2" borderId="38" xfId="2" applyNumberFormat="1" applyFont="1" applyFill="1" applyBorder="1" applyAlignment="1">
      <alignment vertical="center"/>
    </xf>
    <xf numFmtId="3" fontId="7" fillId="2" borderId="19" xfId="1" applyNumberFormat="1" applyFont="1" applyFill="1" applyBorder="1" applyAlignment="1">
      <alignment horizontal="center" vertical="center"/>
    </xf>
    <xf numFmtId="164" fontId="7" fillId="2" borderId="19" xfId="2" applyNumberFormat="1" applyFont="1" applyFill="1" applyBorder="1" applyAlignment="1">
      <alignment horizontal="right" vertical="center"/>
    </xf>
    <xf numFmtId="3" fontId="7" fillId="2" borderId="19" xfId="1" applyNumberFormat="1" applyFont="1" applyFill="1" applyBorder="1" applyAlignment="1">
      <alignment vertical="center"/>
    </xf>
    <xf numFmtId="164" fontId="7" fillId="2" borderId="19" xfId="1" applyNumberFormat="1" applyFont="1" applyFill="1" applyBorder="1" applyAlignment="1">
      <alignment horizontal="center" vertical="center"/>
    </xf>
    <xf numFmtId="43" fontId="7" fillId="2" borderId="20" xfId="2" applyFont="1" applyFill="1" applyBorder="1" applyAlignment="1">
      <alignment vertical="center"/>
    </xf>
    <xf numFmtId="164" fontId="7" fillId="2" borderId="19" xfId="1" applyNumberFormat="1" applyFont="1" applyFill="1" applyBorder="1" applyAlignment="1">
      <alignment vertical="center"/>
    </xf>
    <xf numFmtId="164" fontId="7" fillId="2" borderId="20" xfId="2" applyNumberFormat="1" applyFont="1" applyFill="1" applyBorder="1" applyAlignment="1">
      <alignment vertical="center"/>
    </xf>
    <xf numFmtId="0" fontId="7" fillId="2" borderId="26" xfId="1" applyFont="1" applyFill="1" applyBorder="1" applyAlignment="1">
      <alignment vertical="center"/>
    </xf>
    <xf numFmtId="3" fontId="7" fillId="2" borderId="26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164" fontId="7" fillId="2" borderId="26" xfId="2" applyNumberFormat="1" applyFont="1" applyFill="1" applyBorder="1" applyAlignment="1">
      <alignment horizontal="center" vertical="center"/>
    </xf>
    <xf numFmtId="164" fontId="7" fillId="2" borderId="39" xfId="2" applyNumberFormat="1" applyFont="1" applyFill="1" applyBorder="1" applyAlignment="1">
      <alignment vertical="center"/>
    </xf>
    <xf numFmtId="0" fontId="8" fillId="2" borderId="35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left" vertical="center"/>
    </xf>
    <xf numFmtId="0" fontId="8" fillId="2" borderId="36" xfId="1" applyFont="1" applyFill="1" applyBorder="1" applyAlignment="1">
      <alignment horizontal="center" vertical="center"/>
    </xf>
    <xf numFmtId="164" fontId="8" fillId="2" borderId="36" xfId="2" applyNumberFormat="1" applyFont="1" applyFill="1" applyBorder="1" applyAlignment="1">
      <alignment horizontal="right" vertical="center"/>
    </xf>
    <xf numFmtId="0" fontId="8" fillId="2" borderId="36" xfId="1" applyFont="1" applyFill="1" applyBorder="1" applyAlignment="1">
      <alignment vertical="center"/>
    </xf>
    <xf numFmtId="164" fontId="8" fillId="2" borderId="36" xfId="1" applyNumberFormat="1" applyFont="1" applyFill="1" applyBorder="1" applyAlignment="1">
      <alignment horizontal="center" vertical="center"/>
    </xf>
    <xf numFmtId="164" fontId="8" fillId="2" borderId="37" xfId="1" applyNumberFormat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left" vertical="center"/>
    </xf>
    <xf numFmtId="164" fontId="8" fillId="2" borderId="28" xfId="2" applyNumberFormat="1" applyFont="1" applyFill="1" applyBorder="1" applyAlignment="1">
      <alignment horizontal="right" vertical="center"/>
    </xf>
    <xf numFmtId="164" fontId="8" fillId="2" borderId="28" xfId="1" applyNumberFormat="1" applyFont="1" applyFill="1" applyBorder="1" applyAlignment="1">
      <alignment horizontal="center" vertical="center"/>
    </xf>
    <xf numFmtId="164" fontId="7" fillId="2" borderId="38" xfId="1" applyNumberFormat="1" applyFont="1" applyFill="1" applyBorder="1" applyAlignment="1">
      <alignment horizontal="center" vertical="center"/>
    </xf>
    <xf numFmtId="164" fontId="11" fillId="2" borderId="19" xfId="2" applyNumberFormat="1" applyFont="1" applyFill="1" applyBorder="1" applyAlignment="1">
      <alignment horizontal="right" vertical="center"/>
    </xf>
    <xf numFmtId="164" fontId="7" fillId="2" borderId="20" xfId="1" applyNumberFormat="1" applyFont="1" applyFill="1" applyBorder="1" applyAlignment="1">
      <alignment horizontal="center" vertical="center" wrapText="1"/>
    </xf>
    <xf numFmtId="164" fontId="7" fillId="2" borderId="0" xfId="1" applyNumberFormat="1" applyFont="1" applyFill="1" applyAlignment="1">
      <alignment vertical="center"/>
    </xf>
    <xf numFmtId="0" fontId="7" fillId="2" borderId="36" xfId="1" applyFont="1" applyFill="1" applyBorder="1" applyAlignment="1">
      <alignment horizontal="center" vertical="center"/>
    </xf>
    <xf numFmtId="164" fontId="11" fillId="2" borderId="36" xfId="2" applyNumberFormat="1" applyFont="1" applyFill="1" applyBorder="1" applyAlignment="1">
      <alignment horizontal="right" vertical="center"/>
    </xf>
    <xf numFmtId="164" fontId="7" fillId="2" borderId="36" xfId="2" applyNumberFormat="1" applyFont="1" applyFill="1" applyBorder="1" applyAlignment="1">
      <alignment horizontal="center" vertical="center"/>
    </xf>
    <xf numFmtId="164" fontId="8" fillId="2" borderId="36" xfId="1" applyNumberFormat="1" applyFont="1" applyFill="1" applyBorder="1" applyAlignment="1">
      <alignment vertical="center"/>
    </xf>
    <xf numFmtId="164" fontId="8" fillId="2" borderId="37" xfId="1" applyNumberFormat="1" applyFont="1" applyFill="1" applyBorder="1" applyAlignment="1">
      <alignment vertical="center"/>
    </xf>
    <xf numFmtId="0" fontId="7" fillId="2" borderId="28" xfId="1" applyFont="1" applyFill="1" applyBorder="1" applyAlignment="1">
      <alignment horizontal="center" vertical="center"/>
    </xf>
    <xf numFmtId="164" fontId="11" fillId="2" borderId="28" xfId="2" applyNumberFormat="1" applyFont="1" applyFill="1" applyBorder="1" applyAlignment="1">
      <alignment horizontal="right" vertical="center"/>
    </xf>
    <xf numFmtId="164" fontId="7" fillId="2" borderId="28" xfId="2" applyNumberFormat="1" applyFont="1" applyFill="1" applyBorder="1" applyAlignment="1">
      <alignment horizontal="center" vertical="center"/>
    </xf>
    <xf numFmtId="164" fontId="8" fillId="2" borderId="28" xfId="1" applyNumberFormat="1" applyFont="1" applyFill="1" applyBorder="1" applyAlignment="1">
      <alignment vertical="center"/>
    </xf>
    <xf numFmtId="164" fontId="8" fillId="2" borderId="38" xfId="1" applyNumberFormat="1" applyFont="1" applyFill="1" applyBorder="1" applyAlignment="1">
      <alignment vertical="center"/>
    </xf>
    <xf numFmtId="0" fontId="8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left" vertical="center" wrapText="1"/>
    </xf>
    <xf numFmtId="3" fontId="11" fillId="2" borderId="19" xfId="1" applyNumberFormat="1" applyFont="1" applyFill="1" applyBorder="1" applyAlignment="1">
      <alignment horizontal="center" vertical="center"/>
    </xf>
    <xf numFmtId="164" fontId="11" fillId="2" borderId="19" xfId="4" applyNumberFormat="1" applyFont="1" applyFill="1" applyBorder="1" applyAlignment="1">
      <alignment horizontal="center" vertical="center"/>
    </xf>
    <xf numFmtId="164" fontId="7" fillId="2" borderId="28" xfId="2" applyNumberFormat="1" applyFont="1" applyFill="1" applyBorder="1" applyAlignment="1">
      <alignment horizontal="right" vertical="center"/>
    </xf>
    <xf numFmtId="37" fontId="11" fillId="2" borderId="19" xfId="2" applyNumberFormat="1" applyFont="1" applyFill="1" applyBorder="1" applyAlignment="1">
      <alignment horizontal="right" vertical="center"/>
    </xf>
    <xf numFmtId="164" fontId="7" fillId="2" borderId="20" xfId="1" applyNumberFormat="1" applyFont="1" applyFill="1" applyBorder="1" applyAlignment="1">
      <alignment vertical="center"/>
    </xf>
    <xf numFmtId="164" fontId="7" fillId="2" borderId="19" xfId="1" applyNumberFormat="1" applyFont="1" applyFill="1" applyBorder="1" applyAlignment="1">
      <alignment horizontal="left" vertical="center"/>
    </xf>
    <xf numFmtId="164" fontId="7" fillId="2" borderId="20" xfId="2" applyNumberFormat="1" applyFont="1" applyFill="1" applyBorder="1" applyAlignment="1">
      <alignment horizontal="left" vertical="center"/>
    </xf>
    <xf numFmtId="0" fontId="11" fillId="2" borderId="19" xfId="2" applyNumberFormat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/>
    </xf>
    <xf numFmtId="0" fontId="7" fillId="2" borderId="33" xfId="1" applyFont="1" applyFill="1" applyBorder="1" applyAlignment="1">
      <alignment vertical="center"/>
    </xf>
    <xf numFmtId="3" fontId="11" fillId="2" borderId="33" xfId="1" applyNumberFormat="1" applyFont="1" applyFill="1" applyBorder="1" applyAlignment="1">
      <alignment horizontal="center" vertical="center"/>
    </xf>
    <xf numFmtId="164" fontId="7" fillId="2" borderId="33" xfId="2" applyNumberFormat="1" applyFont="1" applyFill="1" applyBorder="1" applyAlignment="1">
      <alignment horizontal="right" vertical="center"/>
    </xf>
    <xf numFmtId="164" fontId="7" fillId="2" borderId="33" xfId="1" applyNumberFormat="1" applyFont="1" applyFill="1" applyBorder="1" applyAlignment="1">
      <alignment vertical="center"/>
    </xf>
    <xf numFmtId="164" fontId="7" fillId="2" borderId="33" xfId="1" applyNumberFormat="1" applyFont="1" applyFill="1" applyBorder="1" applyAlignment="1">
      <alignment horizontal="center" vertical="center"/>
    </xf>
    <xf numFmtId="164" fontId="7" fillId="2" borderId="34" xfId="2" applyNumberFormat="1" applyFont="1" applyFill="1" applyBorder="1" applyAlignment="1">
      <alignment vertical="center"/>
    </xf>
    <xf numFmtId="164" fontId="8" fillId="2" borderId="19" xfId="1" applyNumberFormat="1" applyFont="1" applyFill="1" applyBorder="1" applyAlignment="1">
      <alignment vertical="center"/>
    </xf>
    <xf numFmtId="164" fontId="8" fillId="2" borderId="19" xfId="1" applyNumberFormat="1" applyFont="1" applyFill="1" applyBorder="1" applyAlignment="1">
      <alignment horizontal="center" vertical="center"/>
    </xf>
    <xf numFmtId="164" fontId="8" fillId="2" borderId="20" xfId="1" applyNumberFormat="1" applyFont="1" applyFill="1" applyBorder="1" applyAlignment="1">
      <alignment vertical="center"/>
    </xf>
    <xf numFmtId="164" fontId="7" fillId="2" borderId="28" xfId="1" applyNumberFormat="1" applyFont="1" applyFill="1" applyBorder="1" applyAlignment="1">
      <alignment vertical="center"/>
    </xf>
    <xf numFmtId="3" fontId="11" fillId="2" borderId="26" xfId="1" applyNumberFormat="1" applyFont="1" applyFill="1" applyBorder="1" applyAlignment="1">
      <alignment horizontal="center" vertical="center"/>
    </xf>
    <xf numFmtId="164" fontId="7" fillId="2" borderId="26" xfId="2" applyNumberFormat="1" applyFont="1" applyFill="1" applyBorder="1" applyAlignment="1">
      <alignment horizontal="right" vertical="center"/>
    </xf>
    <xf numFmtId="164" fontId="8" fillId="2" borderId="0" xfId="4" applyNumberFormat="1" applyFont="1" applyFill="1" applyAlignment="1">
      <alignment vertical="center"/>
    </xf>
    <xf numFmtId="164" fontId="7" fillId="2" borderId="34" xfId="1" applyNumberFormat="1" applyFont="1" applyFill="1" applyBorder="1" applyAlignment="1">
      <alignment vertical="center"/>
    </xf>
    <xf numFmtId="3" fontId="7" fillId="2" borderId="36" xfId="1" applyNumberFormat="1" applyFont="1" applyFill="1" applyBorder="1" applyAlignment="1">
      <alignment vertical="center"/>
    </xf>
    <xf numFmtId="164" fontId="7" fillId="2" borderId="36" xfId="1" applyNumberFormat="1" applyFont="1" applyFill="1" applyBorder="1" applyAlignment="1">
      <alignment vertical="center"/>
    </xf>
    <xf numFmtId="164" fontId="7" fillId="2" borderId="36" xfId="1" applyNumberFormat="1" applyFont="1" applyFill="1" applyBorder="1" applyAlignment="1">
      <alignment horizontal="center" vertical="center"/>
    </xf>
    <xf numFmtId="164" fontId="7" fillId="2" borderId="37" xfId="1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0" fontId="7" fillId="2" borderId="28" xfId="1" applyFont="1" applyFill="1" applyBorder="1" applyAlignment="1">
      <alignment vertical="center"/>
    </xf>
    <xf numFmtId="164" fontId="7" fillId="2" borderId="28" xfId="2" applyNumberFormat="1" applyFont="1" applyFill="1" applyBorder="1" applyAlignment="1">
      <alignment vertical="center"/>
    </xf>
    <xf numFmtId="41" fontId="8" fillId="2" borderId="19" xfId="1" applyNumberFormat="1" applyFont="1" applyFill="1" applyBorder="1" applyAlignment="1">
      <alignment vertical="center"/>
    </xf>
    <xf numFmtId="165" fontId="8" fillId="2" borderId="19" xfId="3" applyNumberFormat="1" applyFont="1" applyFill="1" applyBorder="1" applyAlignment="1">
      <alignment vertical="center"/>
    </xf>
    <xf numFmtId="0" fontId="7" fillId="2" borderId="20" xfId="1" applyFont="1" applyFill="1" applyBorder="1" applyAlignment="1">
      <alignment vertical="center"/>
    </xf>
    <xf numFmtId="41" fontId="7" fillId="2" borderId="19" xfId="2" applyNumberFormat="1" applyFont="1" applyFill="1" applyBorder="1" applyAlignment="1">
      <alignment horizontal="center" vertical="center"/>
    </xf>
    <xf numFmtId="9" fontId="8" fillId="2" borderId="19" xfId="1" applyNumberFormat="1" applyFont="1" applyFill="1" applyBorder="1" applyAlignment="1">
      <alignment vertical="center"/>
    </xf>
    <xf numFmtId="9" fontId="8" fillId="2" borderId="19" xfId="1" applyNumberFormat="1" applyFont="1" applyFill="1" applyBorder="1" applyAlignment="1">
      <alignment horizontal="center" vertical="center"/>
    </xf>
    <xf numFmtId="43" fontId="8" fillId="2" borderId="19" xfId="2" applyFont="1" applyFill="1" applyBorder="1" applyAlignment="1">
      <alignment vertical="center"/>
    </xf>
    <xf numFmtId="0" fontId="7" fillId="2" borderId="32" xfId="1" applyFont="1" applyFill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164" fontId="7" fillId="2" borderId="33" xfId="2" applyNumberFormat="1" applyFont="1" applyFill="1" applyBorder="1" applyAlignment="1">
      <alignment horizontal="center" vertical="center"/>
    </xf>
    <xf numFmtId="9" fontId="7" fillId="2" borderId="33" xfId="1" applyNumberFormat="1" applyFont="1" applyFill="1" applyBorder="1" applyAlignment="1">
      <alignment vertical="center"/>
    </xf>
    <xf numFmtId="0" fontId="7" fillId="2" borderId="34" xfId="1" applyFont="1" applyFill="1" applyBorder="1" applyAlignment="1">
      <alignment vertical="center"/>
    </xf>
    <xf numFmtId="43" fontId="7" fillId="2" borderId="0" xfId="1" applyNumberFormat="1" applyFont="1" applyFill="1" applyAlignment="1">
      <alignment vertical="center"/>
    </xf>
    <xf numFmtId="164" fontId="11" fillId="2" borderId="20" xfId="2" quotePrefix="1" applyNumberFormat="1" applyFont="1" applyFill="1" applyBorder="1" applyAlignment="1">
      <alignment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164" fontId="7" fillId="2" borderId="13" xfId="2" applyNumberFormat="1" applyFont="1" applyFill="1" applyBorder="1" applyAlignment="1">
      <alignment horizontal="right" vertical="center"/>
    </xf>
    <xf numFmtId="164" fontId="7" fillId="2" borderId="13" xfId="4" applyNumberFormat="1" applyFont="1" applyFill="1" applyBorder="1" applyAlignment="1">
      <alignment horizontal="center" vertical="center"/>
    </xf>
    <xf numFmtId="164" fontId="8" fillId="2" borderId="13" xfId="1" applyNumberFormat="1" applyFont="1" applyFill="1" applyBorder="1" applyAlignment="1">
      <alignment horizontal="center" vertical="center"/>
    </xf>
    <xf numFmtId="164" fontId="8" fillId="2" borderId="13" xfId="1" applyNumberFormat="1" applyFont="1" applyFill="1" applyBorder="1" applyAlignment="1">
      <alignment vertical="center"/>
    </xf>
    <xf numFmtId="164" fontId="8" fillId="2" borderId="13" xfId="1" applyNumberFormat="1" applyFont="1" applyFill="1" applyBorder="1" applyAlignment="1">
      <alignment horizontal="left" vertical="center"/>
    </xf>
    <xf numFmtId="164" fontId="8" fillId="2" borderId="17" xfId="1" applyNumberFormat="1" applyFont="1" applyFill="1" applyBorder="1" applyAlignment="1">
      <alignment horizontal="left" vertical="center"/>
    </xf>
    <xf numFmtId="0" fontId="11" fillId="2" borderId="33" xfId="2" applyNumberFormat="1" applyFont="1" applyFill="1" applyBorder="1" applyAlignment="1">
      <alignment horizontal="center" vertical="center"/>
    </xf>
    <xf numFmtId="0" fontId="11" fillId="2" borderId="26" xfId="2" applyNumberFormat="1" applyFont="1" applyFill="1" applyBorder="1" applyAlignment="1">
      <alignment horizontal="center" vertical="center"/>
    </xf>
    <xf numFmtId="164" fontId="8" fillId="2" borderId="26" xfId="1" applyNumberFormat="1" applyFont="1" applyFill="1" applyBorder="1" applyAlignment="1">
      <alignment vertical="center"/>
    </xf>
    <xf numFmtId="164" fontId="8" fillId="2" borderId="26" xfId="1" applyNumberFormat="1" applyFont="1" applyFill="1" applyBorder="1" applyAlignment="1">
      <alignment horizontal="center" vertical="center"/>
    </xf>
    <xf numFmtId="164" fontId="8" fillId="2" borderId="39" xfId="1" applyNumberFormat="1" applyFont="1" applyFill="1" applyBorder="1" applyAlignment="1">
      <alignment vertical="center"/>
    </xf>
    <xf numFmtId="3" fontId="11" fillId="2" borderId="13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17" xfId="1" applyNumberFormat="1" applyFont="1" applyFill="1" applyBorder="1" applyAlignment="1">
      <alignment vertical="center"/>
    </xf>
    <xf numFmtId="0" fontId="8" fillId="2" borderId="46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vertical="center"/>
    </xf>
    <xf numFmtId="164" fontId="7" fillId="2" borderId="47" xfId="1" applyNumberFormat="1" applyFont="1" applyFill="1" applyBorder="1" applyAlignment="1">
      <alignment vertical="center"/>
    </xf>
    <xf numFmtId="164" fontId="11" fillId="2" borderId="19" xfId="2" applyNumberFormat="1" applyFont="1" applyFill="1" applyBorder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43" fontId="2" fillId="2" borderId="0" xfId="1" applyNumberFormat="1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7" fillId="2" borderId="4" xfId="1" applyFont="1" applyFill="1" applyBorder="1" applyAlignment="1">
      <alignment horizontal="center" vertical="center"/>
    </xf>
    <xf numFmtId="164" fontId="7" fillId="2" borderId="0" xfId="2" applyNumberFormat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vertical="center"/>
    </xf>
    <xf numFmtId="0" fontId="7" fillId="2" borderId="40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vertical="center"/>
    </xf>
    <xf numFmtId="0" fontId="7" fillId="2" borderId="41" xfId="1" applyFont="1" applyFill="1" applyBorder="1" applyAlignment="1">
      <alignment vertical="center"/>
    </xf>
    <xf numFmtId="164" fontId="7" fillId="2" borderId="41" xfId="2" applyNumberFormat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vertical="center"/>
    </xf>
    <xf numFmtId="0" fontId="8" fillId="2" borderId="43" xfId="1" applyFont="1" applyFill="1" applyBorder="1" applyAlignment="1">
      <alignment vertical="center"/>
    </xf>
    <xf numFmtId="0" fontId="7" fillId="2" borderId="44" xfId="1" applyFont="1" applyFill="1" applyBorder="1" applyAlignment="1">
      <alignment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vertical="center"/>
    </xf>
    <xf numFmtId="164" fontId="7" fillId="2" borderId="10" xfId="2" applyNumberFormat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vertical="center"/>
    </xf>
    <xf numFmtId="164" fontId="8" fillId="4" borderId="20" xfId="1" applyNumberFormat="1" applyFont="1" applyFill="1" applyBorder="1" applyAlignment="1">
      <alignment horizontal="right" vertical="center"/>
    </xf>
    <xf numFmtId="0" fontId="8" fillId="4" borderId="35" xfId="1" applyFont="1" applyFill="1" applyBorder="1" applyAlignment="1">
      <alignment horizontal="center" vertical="center"/>
    </xf>
    <xf numFmtId="164" fontId="8" fillId="4" borderId="36" xfId="1" applyNumberFormat="1" applyFont="1" applyFill="1" applyBorder="1" applyAlignment="1">
      <alignment vertical="center"/>
    </xf>
    <xf numFmtId="164" fontId="8" fillId="4" borderId="36" xfId="1" applyNumberFormat="1" applyFont="1" applyFill="1" applyBorder="1" applyAlignment="1">
      <alignment horizontal="center" vertical="center"/>
    </xf>
    <xf numFmtId="164" fontId="8" fillId="4" borderId="36" xfId="2" applyNumberFormat="1" applyFont="1" applyFill="1" applyBorder="1" applyAlignment="1">
      <alignment horizontal="center" vertical="center"/>
    </xf>
    <xf numFmtId="164" fontId="8" fillId="4" borderId="37" xfId="1" applyNumberFormat="1" applyFont="1" applyFill="1" applyBorder="1" applyAlignment="1">
      <alignment vertical="center"/>
    </xf>
    <xf numFmtId="0" fontId="8" fillId="4" borderId="36" xfId="1" applyFont="1" applyFill="1" applyBorder="1" applyAlignment="1">
      <alignment vertical="center"/>
    </xf>
    <xf numFmtId="0" fontId="8" fillId="4" borderId="36" xfId="1" applyFont="1" applyFill="1" applyBorder="1" applyAlignment="1">
      <alignment horizontal="center" vertical="center"/>
    </xf>
    <xf numFmtId="164" fontId="8" fillId="4" borderId="36" xfId="2" applyNumberFormat="1" applyFont="1" applyFill="1" applyBorder="1" applyAlignment="1">
      <alignment horizontal="right" vertical="center"/>
    </xf>
    <xf numFmtId="43" fontId="8" fillId="4" borderId="37" xfId="1" applyNumberFormat="1" applyFont="1" applyFill="1" applyBorder="1" applyAlignment="1">
      <alignment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left" vertical="center"/>
    </xf>
    <xf numFmtId="0" fontId="7" fillId="2" borderId="28" xfId="1" applyFont="1" applyFill="1" applyBorder="1" applyAlignment="1">
      <alignment horizontal="left" vertical="center"/>
    </xf>
    <xf numFmtId="0" fontId="8" fillId="2" borderId="21" xfId="1" applyFont="1" applyFill="1" applyBorder="1" applyAlignment="1">
      <alignment horizontal="left" vertical="center" wrapText="1"/>
    </xf>
    <xf numFmtId="0" fontId="8" fillId="2" borderId="22" xfId="1" applyFont="1" applyFill="1" applyBorder="1" applyAlignment="1">
      <alignment horizontal="left" vertical="center"/>
    </xf>
    <xf numFmtId="0" fontId="8" fillId="2" borderId="23" xfId="1" applyFont="1" applyFill="1" applyBorder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right" vertical="center"/>
    </xf>
    <xf numFmtId="0" fontId="8" fillId="2" borderId="14" xfId="1" applyFont="1" applyFill="1" applyBorder="1" applyAlignment="1">
      <alignment horizontal="left" vertical="center"/>
    </xf>
    <xf numFmtId="0" fontId="8" fillId="2" borderId="15" xfId="1" applyFont="1" applyFill="1" applyBorder="1" applyAlignment="1">
      <alignment horizontal="left" vertical="center"/>
    </xf>
    <xf numFmtId="0" fontId="8" fillId="2" borderId="16" xfId="1" applyFont="1" applyFill="1" applyBorder="1" applyAlignment="1">
      <alignment horizontal="left" vertical="center"/>
    </xf>
    <xf numFmtId="0" fontId="8" fillId="2" borderId="19" xfId="1" applyFont="1" applyFill="1" applyBorder="1" applyAlignment="1">
      <alignment horizontal="left" vertical="center" wrapText="1"/>
    </xf>
    <xf numFmtId="0" fontId="8" fillId="2" borderId="19" xfId="1" applyFont="1" applyFill="1" applyBorder="1" applyAlignment="1">
      <alignment horizontal="left" vertical="center"/>
    </xf>
    <xf numFmtId="0" fontId="8" fillId="2" borderId="20" xfId="1" applyFont="1" applyFill="1" applyBorder="1" applyAlignment="1">
      <alignment horizontal="left" vertical="center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8" fillId="2" borderId="21" xfId="1" quotePrefix="1" applyFont="1" applyFill="1" applyBorder="1" applyAlignment="1">
      <alignment horizontal="center" vertical="center"/>
    </xf>
    <xf numFmtId="0" fontId="8" fillId="2" borderId="23" xfId="1" quotePrefix="1" applyFont="1" applyFill="1" applyBorder="1" applyAlignment="1">
      <alignment horizontal="center" vertical="center"/>
    </xf>
  </cellXfs>
  <cellStyles count="5">
    <cellStyle name="Comma" xfId="4" builtinId="3"/>
    <cellStyle name="Comma 2" xfId="2" xr:uid="{00000000-0005-0000-0000-000001000000}"/>
    <cellStyle name="Normal" xfId="0" builtinId="0"/>
    <cellStyle name="Normal 3" xfId="1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1589093</xdr:colOff>
      <xdr:row>1</xdr:row>
      <xdr:rowOff>292100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489A6-9DBB-5B73-B764-5A595400E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0"/>
          <a:ext cx="1589093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3801-5956-43DD-A906-50AB8D2F9025}">
  <dimension ref="B1:Q101"/>
  <sheetViews>
    <sheetView tabSelected="1" workbookViewId="0">
      <selection activeCell="N19" sqref="N19"/>
    </sheetView>
  </sheetViews>
  <sheetFormatPr defaultRowHeight="15" x14ac:dyDescent="0.35"/>
  <cols>
    <col min="1" max="1" width="1.7265625" style="6" customWidth="1"/>
    <col min="2" max="2" width="6.7265625" style="9" customWidth="1"/>
    <col min="3" max="3" width="29.36328125" style="6" customWidth="1"/>
    <col min="4" max="4" width="6.7265625" style="6" customWidth="1"/>
    <col min="5" max="5" width="12.26953125" style="14" bestFit="1" customWidth="1"/>
    <col min="6" max="6" width="11.36328125" style="6" customWidth="1"/>
    <col min="7" max="7" width="20.26953125" style="6" customWidth="1"/>
    <col min="8" max="8" width="9.54296875" style="6" bestFit="1" customWidth="1"/>
    <col min="9" max="9" width="11.81640625" style="9" customWidth="1"/>
    <col min="10" max="10" width="34.81640625" style="6" customWidth="1"/>
    <col min="11" max="11" width="14" style="6" bestFit="1" customWidth="1"/>
    <col min="12" max="16" width="9.1796875" style="6"/>
    <col min="17" max="17" width="13.26953125" style="6" bestFit="1" customWidth="1"/>
    <col min="18" max="254" width="9.1796875" style="6"/>
    <col min="255" max="255" width="5.36328125" style="6" customWidth="1"/>
    <col min="256" max="256" width="31" style="6" customWidth="1"/>
    <col min="257" max="257" width="9.54296875" style="6" bestFit="1" customWidth="1"/>
    <col min="258" max="258" width="17" style="6" customWidth="1"/>
    <col min="259" max="259" width="9.54296875" style="6" customWidth="1"/>
    <col min="260" max="260" width="15" style="6" customWidth="1"/>
    <col min="261" max="261" width="13.36328125" style="6" bestFit="1" customWidth="1"/>
    <col min="262" max="262" width="16.7265625" style="6" customWidth="1"/>
    <col min="263" max="263" width="14.54296875" style="6" customWidth="1"/>
    <col min="264" max="510" width="9.1796875" style="6"/>
    <col min="511" max="511" width="5.36328125" style="6" customWidth="1"/>
    <col min="512" max="512" width="31" style="6" customWidth="1"/>
    <col min="513" max="513" width="9.54296875" style="6" bestFit="1" customWidth="1"/>
    <col min="514" max="514" width="17" style="6" customWidth="1"/>
    <col min="515" max="515" width="9.54296875" style="6" customWidth="1"/>
    <col min="516" max="516" width="15" style="6" customWidth="1"/>
    <col min="517" max="517" width="13.36328125" style="6" bestFit="1" customWidth="1"/>
    <col min="518" max="518" width="16.7265625" style="6" customWidth="1"/>
    <col min="519" max="519" width="14.54296875" style="6" customWidth="1"/>
    <col min="520" max="766" width="9.1796875" style="6"/>
    <col min="767" max="767" width="5.36328125" style="6" customWidth="1"/>
    <col min="768" max="768" width="31" style="6" customWidth="1"/>
    <col min="769" max="769" width="9.54296875" style="6" bestFit="1" customWidth="1"/>
    <col min="770" max="770" width="17" style="6" customWidth="1"/>
    <col min="771" max="771" width="9.54296875" style="6" customWidth="1"/>
    <col min="772" max="772" width="15" style="6" customWidth="1"/>
    <col min="773" max="773" width="13.36328125" style="6" bestFit="1" customWidth="1"/>
    <col min="774" max="774" width="16.7265625" style="6" customWidth="1"/>
    <col min="775" max="775" width="14.54296875" style="6" customWidth="1"/>
    <col min="776" max="1022" width="9.1796875" style="6"/>
    <col min="1023" max="1023" width="5.36328125" style="6" customWidth="1"/>
    <col min="1024" max="1024" width="31" style="6" customWidth="1"/>
    <col min="1025" max="1025" width="9.54296875" style="6" bestFit="1" customWidth="1"/>
    <col min="1026" max="1026" width="17" style="6" customWidth="1"/>
    <col min="1027" max="1027" width="9.54296875" style="6" customWidth="1"/>
    <col min="1028" max="1028" width="15" style="6" customWidth="1"/>
    <col min="1029" max="1029" width="13.36328125" style="6" bestFit="1" customWidth="1"/>
    <col min="1030" max="1030" width="16.7265625" style="6" customWidth="1"/>
    <col min="1031" max="1031" width="14.54296875" style="6" customWidth="1"/>
    <col min="1032" max="1278" width="9.1796875" style="6"/>
    <col min="1279" max="1279" width="5.36328125" style="6" customWidth="1"/>
    <col min="1280" max="1280" width="31" style="6" customWidth="1"/>
    <col min="1281" max="1281" width="9.54296875" style="6" bestFit="1" customWidth="1"/>
    <col min="1282" max="1282" width="17" style="6" customWidth="1"/>
    <col min="1283" max="1283" width="9.54296875" style="6" customWidth="1"/>
    <col min="1284" max="1284" width="15" style="6" customWidth="1"/>
    <col min="1285" max="1285" width="13.36328125" style="6" bestFit="1" customWidth="1"/>
    <col min="1286" max="1286" width="16.7265625" style="6" customWidth="1"/>
    <col min="1287" max="1287" width="14.54296875" style="6" customWidth="1"/>
    <col min="1288" max="1534" width="9.1796875" style="6"/>
    <col min="1535" max="1535" width="5.36328125" style="6" customWidth="1"/>
    <col min="1536" max="1536" width="31" style="6" customWidth="1"/>
    <col min="1537" max="1537" width="9.54296875" style="6" bestFit="1" customWidth="1"/>
    <col min="1538" max="1538" width="17" style="6" customWidth="1"/>
    <col min="1539" max="1539" width="9.54296875" style="6" customWidth="1"/>
    <col min="1540" max="1540" width="15" style="6" customWidth="1"/>
    <col min="1541" max="1541" width="13.36328125" style="6" bestFit="1" customWidth="1"/>
    <col min="1542" max="1542" width="16.7265625" style="6" customWidth="1"/>
    <col min="1543" max="1543" width="14.54296875" style="6" customWidth="1"/>
    <col min="1544" max="1790" width="9.1796875" style="6"/>
    <col min="1791" max="1791" width="5.36328125" style="6" customWidth="1"/>
    <col min="1792" max="1792" width="31" style="6" customWidth="1"/>
    <col min="1793" max="1793" width="9.54296875" style="6" bestFit="1" customWidth="1"/>
    <col min="1794" max="1794" width="17" style="6" customWidth="1"/>
    <col min="1795" max="1795" width="9.54296875" style="6" customWidth="1"/>
    <col min="1796" max="1796" width="15" style="6" customWidth="1"/>
    <col min="1797" max="1797" width="13.36328125" style="6" bestFit="1" customWidth="1"/>
    <col min="1798" max="1798" width="16.7265625" style="6" customWidth="1"/>
    <col min="1799" max="1799" width="14.54296875" style="6" customWidth="1"/>
    <col min="1800" max="2046" width="9.1796875" style="6"/>
    <col min="2047" max="2047" width="5.36328125" style="6" customWidth="1"/>
    <col min="2048" max="2048" width="31" style="6" customWidth="1"/>
    <col min="2049" max="2049" width="9.54296875" style="6" bestFit="1" customWidth="1"/>
    <col min="2050" max="2050" width="17" style="6" customWidth="1"/>
    <col min="2051" max="2051" width="9.54296875" style="6" customWidth="1"/>
    <col min="2052" max="2052" width="15" style="6" customWidth="1"/>
    <col min="2053" max="2053" width="13.36328125" style="6" bestFit="1" customWidth="1"/>
    <col min="2054" max="2054" width="16.7265625" style="6" customWidth="1"/>
    <col min="2055" max="2055" width="14.54296875" style="6" customWidth="1"/>
    <col min="2056" max="2302" width="9.1796875" style="6"/>
    <col min="2303" max="2303" width="5.36328125" style="6" customWidth="1"/>
    <col min="2304" max="2304" width="31" style="6" customWidth="1"/>
    <col min="2305" max="2305" width="9.54296875" style="6" bestFit="1" customWidth="1"/>
    <col min="2306" max="2306" width="17" style="6" customWidth="1"/>
    <col min="2307" max="2307" width="9.54296875" style="6" customWidth="1"/>
    <col min="2308" max="2308" width="15" style="6" customWidth="1"/>
    <col min="2309" max="2309" width="13.36328125" style="6" bestFit="1" customWidth="1"/>
    <col min="2310" max="2310" width="16.7265625" style="6" customWidth="1"/>
    <col min="2311" max="2311" width="14.54296875" style="6" customWidth="1"/>
    <col min="2312" max="2558" width="9.1796875" style="6"/>
    <col min="2559" max="2559" width="5.36328125" style="6" customWidth="1"/>
    <col min="2560" max="2560" width="31" style="6" customWidth="1"/>
    <col min="2561" max="2561" width="9.54296875" style="6" bestFit="1" customWidth="1"/>
    <col min="2562" max="2562" width="17" style="6" customWidth="1"/>
    <col min="2563" max="2563" width="9.54296875" style="6" customWidth="1"/>
    <col min="2564" max="2564" width="15" style="6" customWidth="1"/>
    <col min="2565" max="2565" width="13.36328125" style="6" bestFit="1" customWidth="1"/>
    <col min="2566" max="2566" width="16.7265625" style="6" customWidth="1"/>
    <col min="2567" max="2567" width="14.54296875" style="6" customWidth="1"/>
    <col min="2568" max="2814" width="9.1796875" style="6"/>
    <col min="2815" max="2815" width="5.36328125" style="6" customWidth="1"/>
    <col min="2816" max="2816" width="31" style="6" customWidth="1"/>
    <col min="2817" max="2817" width="9.54296875" style="6" bestFit="1" customWidth="1"/>
    <col min="2818" max="2818" width="17" style="6" customWidth="1"/>
    <col min="2819" max="2819" width="9.54296875" style="6" customWidth="1"/>
    <col min="2820" max="2820" width="15" style="6" customWidth="1"/>
    <col min="2821" max="2821" width="13.36328125" style="6" bestFit="1" customWidth="1"/>
    <col min="2822" max="2822" width="16.7265625" style="6" customWidth="1"/>
    <col min="2823" max="2823" width="14.54296875" style="6" customWidth="1"/>
    <col min="2824" max="3070" width="9.1796875" style="6"/>
    <col min="3071" max="3071" width="5.36328125" style="6" customWidth="1"/>
    <col min="3072" max="3072" width="31" style="6" customWidth="1"/>
    <col min="3073" max="3073" width="9.54296875" style="6" bestFit="1" customWidth="1"/>
    <col min="3074" max="3074" width="17" style="6" customWidth="1"/>
    <col min="3075" max="3075" width="9.54296875" style="6" customWidth="1"/>
    <col min="3076" max="3076" width="15" style="6" customWidth="1"/>
    <col min="3077" max="3077" width="13.36328125" style="6" bestFit="1" customWidth="1"/>
    <col min="3078" max="3078" width="16.7265625" style="6" customWidth="1"/>
    <col min="3079" max="3079" width="14.54296875" style="6" customWidth="1"/>
    <col min="3080" max="3326" width="9.1796875" style="6"/>
    <col min="3327" max="3327" width="5.36328125" style="6" customWidth="1"/>
    <col min="3328" max="3328" width="31" style="6" customWidth="1"/>
    <col min="3329" max="3329" width="9.54296875" style="6" bestFit="1" customWidth="1"/>
    <col min="3330" max="3330" width="17" style="6" customWidth="1"/>
    <col min="3331" max="3331" width="9.54296875" style="6" customWidth="1"/>
    <col min="3332" max="3332" width="15" style="6" customWidth="1"/>
    <col min="3333" max="3333" width="13.36328125" style="6" bestFit="1" customWidth="1"/>
    <col min="3334" max="3334" width="16.7265625" style="6" customWidth="1"/>
    <col min="3335" max="3335" width="14.54296875" style="6" customWidth="1"/>
    <col min="3336" max="3582" width="9.1796875" style="6"/>
    <col min="3583" max="3583" width="5.36328125" style="6" customWidth="1"/>
    <col min="3584" max="3584" width="31" style="6" customWidth="1"/>
    <col min="3585" max="3585" width="9.54296875" style="6" bestFit="1" customWidth="1"/>
    <col min="3586" max="3586" width="17" style="6" customWidth="1"/>
    <col min="3587" max="3587" width="9.54296875" style="6" customWidth="1"/>
    <col min="3588" max="3588" width="15" style="6" customWidth="1"/>
    <col min="3589" max="3589" width="13.36328125" style="6" bestFit="1" customWidth="1"/>
    <col min="3590" max="3590" width="16.7265625" style="6" customWidth="1"/>
    <col min="3591" max="3591" width="14.54296875" style="6" customWidth="1"/>
    <col min="3592" max="3838" width="9.1796875" style="6"/>
    <col min="3839" max="3839" width="5.36328125" style="6" customWidth="1"/>
    <col min="3840" max="3840" width="31" style="6" customWidth="1"/>
    <col min="3841" max="3841" width="9.54296875" style="6" bestFit="1" customWidth="1"/>
    <col min="3842" max="3842" width="17" style="6" customWidth="1"/>
    <col min="3843" max="3843" width="9.54296875" style="6" customWidth="1"/>
    <col min="3844" max="3844" width="15" style="6" customWidth="1"/>
    <col min="3845" max="3845" width="13.36328125" style="6" bestFit="1" customWidth="1"/>
    <col min="3846" max="3846" width="16.7265625" style="6" customWidth="1"/>
    <col min="3847" max="3847" width="14.54296875" style="6" customWidth="1"/>
    <col min="3848" max="4094" width="9.1796875" style="6"/>
    <col min="4095" max="4095" width="5.36328125" style="6" customWidth="1"/>
    <col min="4096" max="4096" width="31" style="6" customWidth="1"/>
    <col min="4097" max="4097" width="9.54296875" style="6" bestFit="1" customWidth="1"/>
    <col min="4098" max="4098" width="17" style="6" customWidth="1"/>
    <col min="4099" max="4099" width="9.54296875" style="6" customWidth="1"/>
    <col min="4100" max="4100" width="15" style="6" customWidth="1"/>
    <col min="4101" max="4101" width="13.36328125" style="6" bestFit="1" customWidth="1"/>
    <col min="4102" max="4102" width="16.7265625" style="6" customWidth="1"/>
    <col min="4103" max="4103" width="14.54296875" style="6" customWidth="1"/>
    <col min="4104" max="4350" width="9.1796875" style="6"/>
    <col min="4351" max="4351" width="5.36328125" style="6" customWidth="1"/>
    <col min="4352" max="4352" width="31" style="6" customWidth="1"/>
    <col min="4353" max="4353" width="9.54296875" style="6" bestFit="1" customWidth="1"/>
    <col min="4354" max="4354" width="17" style="6" customWidth="1"/>
    <col min="4355" max="4355" width="9.54296875" style="6" customWidth="1"/>
    <col min="4356" max="4356" width="15" style="6" customWidth="1"/>
    <col min="4357" max="4357" width="13.36328125" style="6" bestFit="1" customWidth="1"/>
    <col min="4358" max="4358" width="16.7265625" style="6" customWidth="1"/>
    <col min="4359" max="4359" width="14.54296875" style="6" customWidth="1"/>
    <col min="4360" max="4606" width="9.1796875" style="6"/>
    <col min="4607" max="4607" width="5.36328125" style="6" customWidth="1"/>
    <col min="4608" max="4608" width="31" style="6" customWidth="1"/>
    <col min="4609" max="4609" width="9.54296875" style="6" bestFit="1" customWidth="1"/>
    <col min="4610" max="4610" width="17" style="6" customWidth="1"/>
    <col min="4611" max="4611" width="9.54296875" style="6" customWidth="1"/>
    <col min="4612" max="4612" width="15" style="6" customWidth="1"/>
    <col min="4613" max="4613" width="13.36328125" style="6" bestFit="1" customWidth="1"/>
    <col min="4614" max="4614" width="16.7265625" style="6" customWidth="1"/>
    <col min="4615" max="4615" width="14.54296875" style="6" customWidth="1"/>
    <col min="4616" max="4862" width="9.1796875" style="6"/>
    <col min="4863" max="4863" width="5.36328125" style="6" customWidth="1"/>
    <col min="4864" max="4864" width="31" style="6" customWidth="1"/>
    <col min="4865" max="4865" width="9.54296875" style="6" bestFit="1" customWidth="1"/>
    <col min="4866" max="4866" width="17" style="6" customWidth="1"/>
    <col min="4867" max="4867" width="9.54296875" style="6" customWidth="1"/>
    <col min="4868" max="4868" width="15" style="6" customWidth="1"/>
    <col min="4869" max="4869" width="13.36328125" style="6" bestFit="1" customWidth="1"/>
    <col min="4870" max="4870" width="16.7265625" style="6" customWidth="1"/>
    <col min="4871" max="4871" width="14.54296875" style="6" customWidth="1"/>
    <col min="4872" max="5118" width="9.1796875" style="6"/>
    <col min="5119" max="5119" width="5.36328125" style="6" customWidth="1"/>
    <col min="5120" max="5120" width="31" style="6" customWidth="1"/>
    <col min="5121" max="5121" width="9.54296875" style="6" bestFit="1" customWidth="1"/>
    <col min="5122" max="5122" width="17" style="6" customWidth="1"/>
    <col min="5123" max="5123" width="9.54296875" style="6" customWidth="1"/>
    <col min="5124" max="5124" width="15" style="6" customWidth="1"/>
    <col min="5125" max="5125" width="13.36328125" style="6" bestFit="1" customWidth="1"/>
    <col min="5126" max="5126" width="16.7265625" style="6" customWidth="1"/>
    <col min="5127" max="5127" width="14.54296875" style="6" customWidth="1"/>
    <col min="5128" max="5374" width="9.1796875" style="6"/>
    <col min="5375" max="5375" width="5.36328125" style="6" customWidth="1"/>
    <col min="5376" max="5376" width="31" style="6" customWidth="1"/>
    <col min="5377" max="5377" width="9.54296875" style="6" bestFit="1" customWidth="1"/>
    <col min="5378" max="5378" width="17" style="6" customWidth="1"/>
    <col min="5379" max="5379" width="9.54296875" style="6" customWidth="1"/>
    <col min="5380" max="5380" width="15" style="6" customWidth="1"/>
    <col min="5381" max="5381" width="13.36328125" style="6" bestFit="1" customWidth="1"/>
    <col min="5382" max="5382" width="16.7265625" style="6" customWidth="1"/>
    <col min="5383" max="5383" width="14.54296875" style="6" customWidth="1"/>
    <col min="5384" max="5630" width="9.1796875" style="6"/>
    <col min="5631" max="5631" width="5.36328125" style="6" customWidth="1"/>
    <col min="5632" max="5632" width="31" style="6" customWidth="1"/>
    <col min="5633" max="5633" width="9.54296875" style="6" bestFit="1" customWidth="1"/>
    <col min="5634" max="5634" width="17" style="6" customWidth="1"/>
    <col min="5635" max="5635" width="9.54296875" style="6" customWidth="1"/>
    <col min="5636" max="5636" width="15" style="6" customWidth="1"/>
    <col min="5637" max="5637" width="13.36328125" style="6" bestFit="1" customWidth="1"/>
    <col min="5638" max="5638" width="16.7265625" style="6" customWidth="1"/>
    <col min="5639" max="5639" width="14.54296875" style="6" customWidth="1"/>
    <col min="5640" max="5886" width="9.1796875" style="6"/>
    <col min="5887" max="5887" width="5.36328125" style="6" customWidth="1"/>
    <col min="5888" max="5888" width="31" style="6" customWidth="1"/>
    <col min="5889" max="5889" width="9.54296875" style="6" bestFit="1" customWidth="1"/>
    <col min="5890" max="5890" width="17" style="6" customWidth="1"/>
    <col min="5891" max="5891" width="9.54296875" style="6" customWidth="1"/>
    <col min="5892" max="5892" width="15" style="6" customWidth="1"/>
    <col min="5893" max="5893" width="13.36328125" style="6" bestFit="1" customWidth="1"/>
    <col min="5894" max="5894" width="16.7265625" style="6" customWidth="1"/>
    <col min="5895" max="5895" width="14.54296875" style="6" customWidth="1"/>
    <col min="5896" max="6142" width="9.1796875" style="6"/>
    <col min="6143" max="6143" width="5.36328125" style="6" customWidth="1"/>
    <col min="6144" max="6144" width="31" style="6" customWidth="1"/>
    <col min="6145" max="6145" width="9.54296875" style="6" bestFit="1" customWidth="1"/>
    <col min="6146" max="6146" width="17" style="6" customWidth="1"/>
    <col min="6147" max="6147" width="9.54296875" style="6" customWidth="1"/>
    <col min="6148" max="6148" width="15" style="6" customWidth="1"/>
    <col min="6149" max="6149" width="13.36328125" style="6" bestFit="1" customWidth="1"/>
    <col min="6150" max="6150" width="16.7265625" style="6" customWidth="1"/>
    <col min="6151" max="6151" width="14.54296875" style="6" customWidth="1"/>
    <col min="6152" max="6398" width="9.1796875" style="6"/>
    <col min="6399" max="6399" width="5.36328125" style="6" customWidth="1"/>
    <col min="6400" max="6400" width="31" style="6" customWidth="1"/>
    <col min="6401" max="6401" width="9.54296875" style="6" bestFit="1" customWidth="1"/>
    <col min="6402" max="6402" width="17" style="6" customWidth="1"/>
    <col min="6403" max="6403" width="9.54296875" style="6" customWidth="1"/>
    <col min="6404" max="6404" width="15" style="6" customWidth="1"/>
    <col min="6405" max="6405" width="13.36328125" style="6" bestFit="1" customWidth="1"/>
    <col min="6406" max="6406" width="16.7265625" style="6" customWidth="1"/>
    <col min="6407" max="6407" width="14.54296875" style="6" customWidth="1"/>
    <col min="6408" max="6654" width="9.1796875" style="6"/>
    <col min="6655" max="6655" width="5.36328125" style="6" customWidth="1"/>
    <col min="6656" max="6656" width="31" style="6" customWidth="1"/>
    <col min="6657" max="6657" width="9.54296875" style="6" bestFit="1" customWidth="1"/>
    <col min="6658" max="6658" width="17" style="6" customWidth="1"/>
    <col min="6659" max="6659" width="9.54296875" style="6" customWidth="1"/>
    <col min="6660" max="6660" width="15" style="6" customWidth="1"/>
    <col min="6661" max="6661" width="13.36328125" style="6" bestFit="1" customWidth="1"/>
    <col min="6662" max="6662" width="16.7265625" style="6" customWidth="1"/>
    <col min="6663" max="6663" width="14.54296875" style="6" customWidth="1"/>
    <col min="6664" max="6910" width="9.1796875" style="6"/>
    <col min="6911" max="6911" width="5.36328125" style="6" customWidth="1"/>
    <col min="6912" max="6912" width="31" style="6" customWidth="1"/>
    <col min="6913" max="6913" width="9.54296875" style="6" bestFit="1" customWidth="1"/>
    <col min="6914" max="6914" width="17" style="6" customWidth="1"/>
    <col min="6915" max="6915" width="9.54296875" style="6" customWidth="1"/>
    <col min="6916" max="6916" width="15" style="6" customWidth="1"/>
    <col min="6917" max="6917" width="13.36328125" style="6" bestFit="1" customWidth="1"/>
    <col min="6918" max="6918" width="16.7265625" style="6" customWidth="1"/>
    <col min="6919" max="6919" width="14.54296875" style="6" customWidth="1"/>
    <col min="6920" max="7166" width="9.1796875" style="6"/>
    <col min="7167" max="7167" width="5.36328125" style="6" customWidth="1"/>
    <col min="7168" max="7168" width="31" style="6" customWidth="1"/>
    <col min="7169" max="7169" width="9.54296875" style="6" bestFit="1" customWidth="1"/>
    <col min="7170" max="7170" width="17" style="6" customWidth="1"/>
    <col min="7171" max="7171" width="9.54296875" style="6" customWidth="1"/>
    <col min="7172" max="7172" width="15" style="6" customWidth="1"/>
    <col min="7173" max="7173" width="13.36328125" style="6" bestFit="1" customWidth="1"/>
    <col min="7174" max="7174" width="16.7265625" style="6" customWidth="1"/>
    <col min="7175" max="7175" width="14.54296875" style="6" customWidth="1"/>
    <col min="7176" max="7422" width="9.1796875" style="6"/>
    <col min="7423" max="7423" width="5.36328125" style="6" customWidth="1"/>
    <col min="7424" max="7424" width="31" style="6" customWidth="1"/>
    <col min="7425" max="7425" width="9.54296875" style="6" bestFit="1" customWidth="1"/>
    <col min="7426" max="7426" width="17" style="6" customWidth="1"/>
    <col min="7427" max="7427" width="9.54296875" style="6" customWidth="1"/>
    <col min="7428" max="7428" width="15" style="6" customWidth="1"/>
    <col min="7429" max="7429" width="13.36328125" style="6" bestFit="1" customWidth="1"/>
    <col min="7430" max="7430" width="16.7265625" style="6" customWidth="1"/>
    <col min="7431" max="7431" width="14.54296875" style="6" customWidth="1"/>
    <col min="7432" max="7678" width="9.1796875" style="6"/>
    <col min="7679" max="7679" width="5.36328125" style="6" customWidth="1"/>
    <col min="7680" max="7680" width="31" style="6" customWidth="1"/>
    <col min="7681" max="7681" width="9.54296875" style="6" bestFit="1" customWidth="1"/>
    <col min="7682" max="7682" width="17" style="6" customWidth="1"/>
    <col min="7683" max="7683" width="9.54296875" style="6" customWidth="1"/>
    <col min="7684" max="7684" width="15" style="6" customWidth="1"/>
    <col min="7685" max="7685" width="13.36328125" style="6" bestFit="1" customWidth="1"/>
    <col min="7686" max="7686" width="16.7265625" style="6" customWidth="1"/>
    <col min="7687" max="7687" width="14.54296875" style="6" customWidth="1"/>
    <col min="7688" max="7934" width="9.1796875" style="6"/>
    <col min="7935" max="7935" width="5.36328125" style="6" customWidth="1"/>
    <col min="7936" max="7936" width="31" style="6" customWidth="1"/>
    <col min="7937" max="7937" width="9.54296875" style="6" bestFit="1" customWidth="1"/>
    <col min="7938" max="7938" width="17" style="6" customWidth="1"/>
    <col min="7939" max="7939" width="9.54296875" style="6" customWidth="1"/>
    <col min="7940" max="7940" width="15" style="6" customWidth="1"/>
    <col min="7941" max="7941" width="13.36328125" style="6" bestFit="1" customWidth="1"/>
    <col min="7942" max="7942" width="16.7265625" style="6" customWidth="1"/>
    <col min="7943" max="7943" width="14.54296875" style="6" customWidth="1"/>
    <col min="7944" max="8190" width="9.1796875" style="6"/>
    <col min="8191" max="8191" width="5.36328125" style="6" customWidth="1"/>
    <col min="8192" max="8192" width="31" style="6" customWidth="1"/>
    <col min="8193" max="8193" width="9.54296875" style="6" bestFit="1" customWidth="1"/>
    <col min="8194" max="8194" width="17" style="6" customWidth="1"/>
    <col min="8195" max="8195" width="9.54296875" style="6" customWidth="1"/>
    <col min="8196" max="8196" width="15" style="6" customWidth="1"/>
    <col min="8197" max="8197" width="13.36328125" style="6" bestFit="1" customWidth="1"/>
    <col min="8198" max="8198" width="16.7265625" style="6" customWidth="1"/>
    <col min="8199" max="8199" width="14.54296875" style="6" customWidth="1"/>
    <col min="8200" max="8446" width="9.1796875" style="6"/>
    <col min="8447" max="8447" width="5.36328125" style="6" customWidth="1"/>
    <col min="8448" max="8448" width="31" style="6" customWidth="1"/>
    <col min="8449" max="8449" width="9.54296875" style="6" bestFit="1" customWidth="1"/>
    <col min="8450" max="8450" width="17" style="6" customWidth="1"/>
    <col min="8451" max="8451" width="9.54296875" style="6" customWidth="1"/>
    <col min="8452" max="8452" width="15" style="6" customWidth="1"/>
    <col min="8453" max="8453" width="13.36328125" style="6" bestFit="1" customWidth="1"/>
    <col min="8454" max="8454" width="16.7265625" style="6" customWidth="1"/>
    <col min="8455" max="8455" width="14.54296875" style="6" customWidth="1"/>
    <col min="8456" max="8702" width="9.1796875" style="6"/>
    <col min="8703" max="8703" width="5.36328125" style="6" customWidth="1"/>
    <col min="8704" max="8704" width="31" style="6" customWidth="1"/>
    <col min="8705" max="8705" width="9.54296875" style="6" bestFit="1" customWidth="1"/>
    <col min="8706" max="8706" width="17" style="6" customWidth="1"/>
    <col min="8707" max="8707" width="9.54296875" style="6" customWidth="1"/>
    <col min="8708" max="8708" width="15" style="6" customWidth="1"/>
    <col min="8709" max="8709" width="13.36328125" style="6" bestFit="1" customWidth="1"/>
    <col min="8710" max="8710" width="16.7265625" style="6" customWidth="1"/>
    <col min="8711" max="8711" width="14.54296875" style="6" customWidth="1"/>
    <col min="8712" max="8958" width="9.1796875" style="6"/>
    <col min="8959" max="8959" width="5.36328125" style="6" customWidth="1"/>
    <col min="8960" max="8960" width="31" style="6" customWidth="1"/>
    <col min="8961" max="8961" width="9.54296875" style="6" bestFit="1" customWidth="1"/>
    <col min="8962" max="8962" width="17" style="6" customWidth="1"/>
    <col min="8963" max="8963" width="9.54296875" style="6" customWidth="1"/>
    <col min="8964" max="8964" width="15" style="6" customWidth="1"/>
    <col min="8965" max="8965" width="13.36328125" style="6" bestFit="1" customWidth="1"/>
    <col min="8966" max="8966" width="16.7265625" style="6" customWidth="1"/>
    <col min="8967" max="8967" width="14.54296875" style="6" customWidth="1"/>
    <col min="8968" max="9214" width="9.1796875" style="6"/>
    <col min="9215" max="9215" width="5.36328125" style="6" customWidth="1"/>
    <col min="9216" max="9216" width="31" style="6" customWidth="1"/>
    <col min="9217" max="9217" width="9.54296875" style="6" bestFit="1" customWidth="1"/>
    <col min="9218" max="9218" width="17" style="6" customWidth="1"/>
    <col min="9219" max="9219" width="9.54296875" style="6" customWidth="1"/>
    <col min="9220" max="9220" width="15" style="6" customWidth="1"/>
    <col min="9221" max="9221" width="13.36328125" style="6" bestFit="1" customWidth="1"/>
    <col min="9222" max="9222" width="16.7265625" style="6" customWidth="1"/>
    <col min="9223" max="9223" width="14.54296875" style="6" customWidth="1"/>
    <col min="9224" max="9470" width="9.1796875" style="6"/>
    <col min="9471" max="9471" width="5.36328125" style="6" customWidth="1"/>
    <col min="9472" max="9472" width="31" style="6" customWidth="1"/>
    <col min="9473" max="9473" width="9.54296875" style="6" bestFit="1" customWidth="1"/>
    <col min="9474" max="9474" width="17" style="6" customWidth="1"/>
    <col min="9475" max="9475" width="9.54296875" style="6" customWidth="1"/>
    <col min="9476" max="9476" width="15" style="6" customWidth="1"/>
    <col min="9477" max="9477" width="13.36328125" style="6" bestFit="1" customWidth="1"/>
    <col min="9478" max="9478" width="16.7265625" style="6" customWidth="1"/>
    <col min="9479" max="9479" width="14.54296875" style="6" customWidth="1"/>
    <col min="9480" max="9726" width="9.1796875" style="6"/>
    <col min="9727" max="9727" width="5.36328125" style="6" customWidth="1"/>
    <col min="9728" max="9728" width="31" style="6" customWidth="1"/>
    <col min="9729" max="9729" width="9.54296875" style="6" bestFit="1" customWidth="1"/>
    <col min="9730" max="9730" width="17" style="6" customWidth="1"/>
    <col min="9731" max="9731" width="9.54296875" style="6" customWidth="1"/>
    <col min="9732" max="9732" width="15" style="6" customWidth="1"/>
    <col min="9733" max="9733" width="13.36328125" style="6" bestFit="1" customWidth="1"/>
    <col min="9734" max="9734" width="16.7265625" style="6" customWidth="1"/>
    <col min="9735" max="9735" width="14.54296875" style="6" customWidth="1"/>
    <col min="9736" max="9982" width="9.1796875" style="6"/>
    <col min="9983" max="9983" width="5.36328125" style="6" customWidth="1"/>
    <col min="9984" max="9984" width="31" style="6" customWidth="1"/>
    <col min="9985" max="9985" width="9.54296875" style="6" bestFit="1" customWidth="1"/>
    <col min="9986" max="9986" width="17" style="6" customWidth="1"/>
    <col min="9987" max="9987" width="9.54296875" style="6" customWidth="1"/>
    <col min="9988" max="9988" width="15" style="6" customWidth="1"/>
    <col min="9989" max="9989" width="13.36328125" style="6" bestFit="1" customWidth="1"/>
    <col min="9990" max="9990" width="16.7265625" style="6" customWidth="1"/>
    <col min="9991" max="9991" width="14.54296875" style="6" customWidth="1"/>
    <col min="9992" max="10238" width="9.1796875" style="6"/>
    <col min="10239" max="10239" width="5.36328125" style="6" customWidth="1"/>
    <col min="10240" max="10240" width="31" style="6" customWidth="1"/>
    <col min="10241" max="10241" width="9.54296875" style="6" bestFit="1" customWidth="1"/>
    <col min="10242" max="10242" width="17" style="6" customWidth="1"/>
    <col min="10243" max="10243" width="9.54296875" style="6" customWidth="1"/>
    <col min="10244" max="10244" width="15" style="6" customWidth="1"/>
    <col min="10245" max="10245" width="13.36328125" style="6" bestFit="1" customWidth="1"/>
    <col min="10246" max="10246" width="16.7265625" style="6" customWidth="1"/>
    <col min="10247" max="10247" width="14.54296875" style="6" customWidth="1"/>
    <col min="10248" max="10494" width="9.1796875" style="6"/>
    <col min="10495" max="10495" width="5.36328125" style="6" customWidth="1"/>
    <col min="10496" max="10496" width="31" style="6" customWidth="1"/>
    <col min="10497" max="10497" width="9.54296875" style="6" bestFit="1" customWidth="1"/>
    <col min="10498" max="10498" width="17" style="6" customWidth="1"/>
    <col min="10499" max="10499" width="9.54296875" style="6" customWidth="1"/>
    <col min="10500" max="10500" width="15" style="6" customWidth="1"/>
    <col min="10501" max="10501" width="13.36328125" style="6" bestFit="1" customWidth="1"/>
    <col min="10502" max="10502" width="16.7265625" style="6" customWidth="1"/>
    <col min="10503" max="10503" width="14.54296875" style="6" customWidth="1"/>
    <col min="10504" max="10750" width="9.1796875" style="6"/>
    <col min="10751" max="10751" width="5.36328125" style="6" customWidth="1"/>
    <col min="10752" max="10752" width="31" style="6" customWidth="1"/>
    <col min="10753" max="10753" width="9.54296875" style="6" bestFit="1" customWidth="1"/>
    <col min="10754" max="10754" width="17" style="6" customWidth="1"/>
    <col min="10755" max="10755" width="9.54296875" style="6" customWidth="1"/>
    <col min="10756" max="10756" width="15" style="6" customWidth="1"/>
    <col min="10757" max="10757" width="13.36328125" style="6" bestFit="1" customWidth="1"/>
    <col min="10758" max="10758" width="16.7265625" style="6" customWidth="1"/>
    <col min="10759" max="10759" width="14.54296875" style="6" customWidth="1"/>
    <col min="10760" max="11006" width="9.1796875" style="6"/>
    <col min="11007" max="11007" width="5.36328125" style="6" customWidth="1"/>
    <col min="11008" max="11008" width="31" style="6" customWidth="1"/>
    <col min="11009" max="11009" width="9.54296875" style="6" bestFit="1" customWidth="1"/>
    <col min="11010" max="11010" width="17" style="6" customWidth="1"/>
    <col min="11011" max="11011" width="9.54296875" style="6" customWidth="1"/>
    <col min="11012" max="11012" width="15" style="6" customWidth="1"/>
    <col min="11013" max="11013" width="13.36328125" style="6" bestFit="1" customWidth="1"/>
    <col min="11014" max="11014" width="16.7265625" style="6" customWidth="1"/>
    <col min="11015" max="11015" width="14.54296875" style="6" customWidth="1"/>
    <col min="11016" max="11262" width="9.1796875" style="6"/>
    <col min="11263" max="11263" width="5.36328125" style="6" customWidth="1"/>
    <col min="11264" max="11264" width="31" style="6" customWidth="1"/>
    <col min="11265" max="11265" width="9.54296875" style="6" bestFit="1" customWidth="1"/>
    <col min="11266" max="11266" width="17" style="6" customWidth="1"/>
    <col min="11267" max="11267" width="9.54296875" style="6" customWidth="1"/>
    <col min="11268" max="11268" width="15" style="6" customWidth="1"/>
    <col min="11269" max="11269" width="13.36328125" style="6" bestFit="1" customWidth="1"/>
    <col min="11270" max="11270" width="16.7265625" style="6" customWidth="1"/>
    <col min="11271" max="11271" width="14.54296875" style="6" customWidth="1"/>
    <col min="11272" max="11518" width="9.1796875" style="6"/>
    <col min="11519" max="11519" width="5.36328125" style="6" customWidth="1"/>
    <col min="11520" max="11520" width="31" style="6" customWidth="1"/>
    <col min="11521" max="11521" width="9.54296875" style="6" bestFit="1" customWidth="1"/>
    <col min="11522" max="11522" width="17" style="6" customWidth="1"/>
    <col min="11523" max="11523" width="9.54296875" style="6" customWidth="1"/>
    <col min="11524" max="11524" width="15" style="6" customWidth="1"/>
    <col min="11525" max="11525" width="13.36328125" style="6" bestFit="1" customWidth="1"/>
    <col min="11526" max="11526" width="16.7265625" style="6" customWidth="1"/>
    <col min="11527" max="11527" width="14.54296875" style="6" customWidth="1"/>
    <col min="11528" max="11774" width="9.1796875" style="6"/>
    <col min="11775" max="11775" width="5.36328125" style="6" customWidth="1"/>
    <col min="11776" max="11776" width="31" style="6" customWidth="1"/>
    <col min="11777" max="11777" width="9.54296875" style="6" bestFit="1" customWidth="1"/>
    <col min="11778" max="11778" width="17" style="6" customWidth="1"/>
    <col min="11779" max="11779" width="9.54296875" style="6" customWidth="1"/>
    <col min="11780" max="11780" width="15" style="6" customWidth="1"/>
    <col min="11781" max="11781" width="13.36328125" style="6" bestFit="1" customWidth="1"/>
    <col min="11782" max="11782" width="16.7265625" style="6" customWidth="1"/>
    <col min="11783" max="11783" width="14.54296875" style="6" customWidth="1"/>
    <col min="11784" max="12030" width="9.1796875" style="6"/>
    <col min="12031" max="12031" width="5.36328125" style="6" customWidth="1"/>
    <col min="12032" max="12032" width="31" style="6" customWidth="1"/>
    <col min="12033" max="12033" width="9.54296875" style="6" bestFit="1" customWidth="1"/>
    <col min="12034" max="12034" width="17" style="6" customWidth="1"/>
    <col min="12035" max="12035" width="9.54296875" style="6" customWidth="1"/>
    <col min="12036" max="12036" width="15" style="6" customWidth="1"/>
    <col min="12037" max="12037" width="13.36328125" style="6" bestFit="1" customWidth="1"/>
    <col min="12038" max="12038" width="16.7265625" style="6" customWidth="1"/>
    <col min="12039" max="12039" width="14.54296875" style="6" customWidth="1"/>
    <col min="12040" max="12286" width="9.1796875" style="6"/>
    <col min="12287" max="12287" width="5.36328125" style="6" customWidth="1"/>
    <col min="12288" max="12288" width="31" style="6" customWidth="1"/>
    <col min="12289" max="12289" width="9.54296875" style="6" bestFit="1" customWidth="1"/>
    <col min="12290" max="12290" width="17" style="6" customWidth="1"/>
    <col min="12291" max="12291" width="9.54296875" style="6" customWidth="1"/>
    <col min="12292" max="12292" width="15" style="6" customWidth="1"/>
    <col min="12293" max="12293" width="13.36328125" style="6" bestFit="1" customWidth="1"/>
    <col min="12294" max="12294" width="16.7265625" style="6" customWidth="1"/>
    <col min="12295" max="12295" width="14.54296875" style="6" customWidth="1"/>
    <col min="12296" max="12542" width="9.1796875" style="6"/>
    <col min="12543" max="12543" width="5.36328125" style="6" customWidth="1"/>
    <col min="12544" max="12544" width="31" style="6" customWidth="1"/>
    <col min="12545" max="12545" width="9.54296875" style="6" bestFit="1" customWidth="1"/>
    <col min="12546" max="12546" width="17" style="6" customWidth="1"/>
    <col min="12547" max="12547" width="9.54296875" style="6" customWidth="1"/>
    <col min="12548" max="12548" width="15" style="6" customWidth="1"/>
    <col min="12549" max="12549" width="13.36328125" style="6" bestFit="1" customWidth="1"/>
    <col min="12550" max="12550" width="16.7265625" style="6" customWidth="1"/>
    <col min="12551" max="12551" width="14.54296875" style="6" customWidth="1"/>
    <col min="12552" max="12798" width="9.1796875" style="6"/>
    <col min="12799" max="12799" width="5.36328125" style="6" customWidth="1"/>
    <col min="12800" max="12800" width="31" style="6" customWidth="1"/>
    <col min="12801" max="12801" width="9.54296875" style="6" bestFit="1" customWidth="1"/>
    <col min="12802" max="12802" width="17" style="6" customWidth="1"/>
    <col min="12803" max="12803" width="9.54296875" style="6" customWidth="1"/>
    <col min="12804" max="12804" width="15" style="6" customWidth="1"/>
    <col min="12805" max="12805" width="13.36328125" style="6" bestFit="1" customWidth="1"/>
    <col min="12806" max="12806" width="16.7265625" style="6" customWidth="1"/>
    <col min="12807" max="12807" width="14.54296875" style="6" customWidth="1"/>
    <col min="12808" max="13054" width="9.1796875" style="6"/>
    <col min="13055" max="13055" width="5.36328125" style="6" customWidth="1"/>
    <col min="13056" max="13056" width="31" style="6" customWidth="1"/>
    <col min="13057" max="13057" width="9.54296875" style="6" bestFit="1" customWidth="1"/>
    <col min="13058" max="13058" width="17" style="6" customWidth="1"/>
    <col min="13059" max="13059" width="9.54296875" style="6" customWidth="1"/>
    <col min="13060" max="13060" width="15" style="6" customWidth="1"/>
    <col min="13061" max="13061" width="13.36328125" style="6" bestFit="1" customWidth="1"/>
    <col min="13062" max="13062" width="16.7265625" style="6" customWidth="1"/>
    <col min="13063" max="13063" width="14.54296875" style="6" customWidth="1"/>
    <col min="13064" max="13310" width="9.1796875" style="6"/>
    <col min="13311" max="13311" width="5.36328125" style="6" customWidth="1"/>
    <col min="13312" max="13312" width="31" style="6" customWidth="1"/>
    <col min="13313" max="13313" width="9.54296875" style="6" bestFit="1" customWidth="1"/>
    <col min="13314" max="13314" width="17" style="6" customWidth="1"/>
    <col min="13315" max="13315" width="9.54296875" style="6" customWidth="1"/>
    <col min="13316" max="13316" width="15" style="6" customWidth="1"/>
    <col min="13317" max="13317" width="13.36328125" style="6" bestFit="1" customWidth="1"/>
    <col min="13318" max="13318" width="16.7265625" style="6" customWidth="1"/>
    <col min="13319" max="13319" width="14.54296875" style="6" customWidth="1"/>
    <col min="13320" max="13566" width="9.1796875" style="6"/>
    <col min="13567" max="13567" width="5.36328125" style="6" customWidth="1"/>
    <col min="13568" max="13568" width="31" style="6" customWidth="1"/>
    <col min="13569" max="13569" width="9.54296875" style="6" bestFit="1" customWidth="1"/>
    <col min="13570" max="13570" width="17" style="6" customWidth="1"/>
    <col min="13571" max="13571" width="9.54296875" style="6" customWidth="1"/>
    <col min="13572" max="13572" width="15" style="6" customWidth="1"/>
    <col min="13573" max="13573" width="13.36328125" style="6" bestFit="1" customWidth="1"/>
    <col min="13574" max="13574" width="16.7265625" style="6" customWidth="1"/>
    <col min="13575" max="13575" width="14.54296875" style="6" customWidth="1"/>
    <col min="13576" max="13822" width="9.1796875" style="6"/>
    <col min="13823" max="13823" width="5.36328125" style="6" customWidth="1"/>
    <col min="13824" max="13824" width="31" style="6" customWidth="1"/>
    <col min="13825" max="13825" width="9.54296875" style="6" bestFit="1" customWidth="1"/>
    <col min="13826" max="13826" width="17" style="6" customWidth="1"/>
    <col min="13827" max="13827" width="9.54296875" style="6" customWidth="1"/>
    <col min="13828" max="13828" width="15" style="6" customWidth="1"/>
    <col min="13829" max="13829" width="13.36328125" style="6" bestFit="1" customWidth="1"/>
    <col min="13830" max="13830" width="16.7265625" style="6" customWidth="1"/>
    <col min="13831" max="13831" width="14.54296875" style="6" customWidth="1"/>
    <col min="13832" max="14078" width="9.1796875" style="6"/>
    <col min="14079" max="14079" width="5.36328125" style="6" customWidth="1"/>
    <col min="14080" max="14080" width="31" style="6" customWidth="1"/>
    <col min="14081" max="14081" width="9.54296875" style="6" bestFit="1" customWidth="1"/>
    <col min="14082" max="14082" width="17" style="6" customWidth="1"/>
    <col min="14083" max="14083" width="9.54296875" style="6" customWidth="1"/>
    <col min="14084" max="14084" width="15" style="6" customWidth="1"/>
    <col min="14085" max="14085" width="13.36328125" style="6" bestFit="1" customWidth="1"/>
    <col min="14086" max="14086" width="16.7265625" style="6" customWidth="1"/>
    <col min="14087" max="14087" width="14.54296875" style="6" customWidth="1"/>
    <col min="14088" max="14334" width="9.1796875" style="6"/>
    <col min="14335" max="14335" width="5.36328125" style="6" customWidth="1"/>
    <col min="14336" max="14336" width="31" style="6" customWidth="1"/>
    <col min="14337" max="14337" width="9.54296875" style="6" bestFit="1" customWidth="1"/>
    <col min="14338" max="14338" width="17" style="6" customWidth="1"/>
    <col min="14339" max="14339" width="9.54296875" style="6" customWidth="1"/>
    <col min="14340" max="14340" width="15" style="6" customWidth="1"/>
    <col min="14341" max="14341" width="13.36328125" style="6" bestFit="1" customWidth="1"/>
    <col min="14342" max="14342" width="16.7265625" style="6" customWidth="1"/>
    <col min="14343" max="14343" width="14.54296875" style="6" customWidth="1"/>
    <col min="14344" max="14590" width="9.1796875" style="6"/>
    <col min="14591" max="14591" width="5.36328125" style="6" customWidth="1"/>
    <col min="14592" max="14592" width="31" style="6" customWidth="1"/>
    <col min="14593" max="14593" width="9.54296875" style="6" bestFit="1" customWidth="1"/>
    <col min="14594" max="14594" width="17" style="6" customWidth="1"/>
    <col min="14595" max="14595" width="9.54296875" style="6" customWidth="1"/>
    <col min="14596" max="14596" width="15" style="6" customWidth="1"/>
    <col min="14597" max="14597" width="13.36328125" style="6" bestFit="1" customWidth="1"/>
    <col min="14598" max="14598" width="16.7265625" style="6" customWidth="1"/>
    <col min="14599" max="14599" width="14.54296875" style="6" customWidth="1"/>
    <col min="14600" max="14846" width="9.1796875" style="6"/>
    <col min="14847" max="14847" width="5.36328125" style="6" customWidth="1"/>
    <col min="14848" max="14848" width="31" style="6" customWidth="1"/>
    <col min="14849" max="14849" width="9.54296875" style="6" bestFit="1" customWidth="1"/>
    <col min="14850" max="14850" width="17" style="6" customWidth="1"/>
    <col min="14851" max="14851" width="9.54296875" style="6" customWidth="1"/>
    <col min="14852" max="14852" width="15" style="6" customWidth="1"/>
    <col min="14853" max="14853" width="13.36328125" style="6" bestFit="1" customWidth="1"/>
    <col min="14854" max="14854" width="16.7265625" style="6" customWidth="1"/>
    <col min="14855" max="14855" width="14.54296875" style="6" customWidth="1"/>
    <col min="14856" max="15102" width="9.1796875" style="6"/>
    <col min="15103" max="15103" width="5.36328125" style="6" customWidth="1"/>
    <col min="15104" max="15104" width="31" style="6" customWidth="1"/>
    <col min="15105" max="15105" width="9.54296875" style="6" bestFit="1" customWidth="1"/>
    <col min="15106" max="15106" width="17" style="6" customWidth="1"/>
    <col min="15107" max="15107" width="9.54296875" style="6" customWidth="1"/>
    <col min="15108" max="15108" width="15" style="6" customWidth="1"/>
    <col min="15109" max="15109" width="13.36328125" style="6" bestFit="1" customWidth="1"/>
    <col min="15110" max="15110" width="16.7265625" style="6" customWidth="1"/>
    <col min="15111" max="15111" width="14.54296875" style="6" customWidth="1"/>
    <col min="15112" max="15358" width="9.1796875" style="6"/>
    <col min="15359" max="15359" width="5.36328125" style="6" customWidth="1"/>
    <col min="15360" max="15360" width="31" style="6" customWidth="1"/>
    <col min="15361" max="15361" width="9.54296875" style="6" bestFit="1" customWidth="1"/>
    <col min="15362" max="15362" width="17" style="6" customWidth="1"/>
    <col min="15363" max="15363" width="9.54296875" style="6" customWidth="1"/>
    <col min="15364" max="15364" width="15" style="6" customWidth="1"/>
    <col min="15365" max="15365" width="13.36328125" style="6" bestFit="1" customWidth="1"/>
    <col min="15366" max="15366" width="16.7265625" style="6" customWidth="1"/>
    <col min="15367" max="15367" width="14.54296875" style="6" customWidth="1"/>
    <col min="15368" max="15614" width="9.1796875" style="6"/>
    <col min="15615" max="15615" width="5.36328125" style="6" customWidth="1"/>
    <col min="15616" max="15616" width="31" style="6" customWidth="1"/>
    <col min="15617" max="15617" width="9.54296875" style="6" bestFit="1" customWidth="1"/>
    <col min="15618" max="15618" width="17" style="6" customWidth="1"/>
    <col min="15619" max="15619" width="9.54296875" style="6" customWidth="1"/>
    <col min="15620" max="15620" width="15" style="6" customWidth="1"/>
    <col min="15621" max="15621" width="13.36328125" style="6" bestFit="1" customWidth="1"/>
    <col min="15622" max="15622" width="16.7265625" style="6" customWidth="1"/>
    <col min="15623" max="15623" width="14.54296875" style="6" customWidth="1"/>
    <col min="15624" max="15870" width="9.1796875" style="6"/>
    <col min="15871" max="15871" width="5.36328125" style="6" customWidth="1"/>
    <col min="15872" max="15872" width="31" style="6" customWidth="1"/>
    <col min="15873" max="15873" width="9.54296875" style="6" bestFit="1" customWidth="1"/>
    <col min="15874" max="15874" width="17" style="6" customWidth="1"/>
    <col min="15875" max="15875" width="9.54296875" style="6" customWidth="1"/>
    <col min="15876" max="15876" width="15" style="6" customWidth="1"/>
    <col min="15877" max="15877" width="13.36328125" style="6" bestFit="1" customWidth="1"/>
    <col min="15878" max="15878" width="16.7265625" style="6" customWidth="1"/>
    <col min="15879" max="15879" width="14.54296875" style="6" customWidth="1"/>
    <col min="15880" max="16126" width="9.1796875" style="6"/>
    <col min="16127" max="16127" width="5.36328125" style="6" customWidth="1"/>
    <col min="16128" max="16128" width="31" style="6" customWidth="1"/>
    <col min="16129" max="16129" width="9.54296875" style="6" bestFit="1" customWidth="1"/>
    <col min="16130" max="16130" width="17" style="6" customWidth="1"/>
    <col min="16131" max="16131" width="9.54296875" style="6" customWidth="1"/>
    <col min="16132" max="16132" width="15" style="6" customWidth="1"/>
    <col min="16133" max="16133" width="13.36328125" style="6" bestFit="1" customWidth="1"/>
    <col min="16134" max="16134" width="16.7265625" style="6" customWidth="1"/>
    <col min="16135" max="16135" width="14.54296875" style="6" customWidth="1"/>
    <col min="16136" max="16384" width="9.1796875" style="6"/>
  </cols>
  <sheetData>
    <row r="1" spans="2:11" ht="28" customHeight="1" x14ac:dyDescent="0.35">
      <c r="B1" s="1"/>
      <c r="C1" s="2"/>
      <c r="D1" s="2"/>
      <c r="E1" s="3"/>
      <c r="F1" s="2"/>
      <c r="G1" s="2"/>
      <c r="H1" s="2"/>
      <c r="I1" s="4"/>
      <c r="J1" s="5"/>
    </row>
    <row r="2" spans="2:11" ht="24.5" customHeight="1" x14ac:dyDescent="0.35">
      <c r="B2" s="7"/>
      <c r="E2" s="8"/>
      <c r="J2" s="10"/>
    </row>
    <row r="3" spans="2:11" s="11" customFormat="1" ht="18" customHeight="1" x14ac:dyDescent="0.35">
      <c r="B3" s="18"/>
      <c r="C3" s="19" t="s">
        <v>80</v>
      </c>
      <c r="D3" s="19"/>
      <c r="E3" s="20"/>
      <c r="F3" s="19"/>
      <c r="G3" s="19"/>
      <c r="H3" s="19"/>
      <c r="I3" s="21"/>
      <c r="J3" s="22"/>
      <c r="K3" s="19"/>
    </row>
    <row r="4" spans="2:11" s="11" customFormat="1" ht="18" customHeight="1" x14ac:dyDescent="0.35">
      <c r="B4" s="18"/>
      <c r="C4" s="19" t="s">
        <v>81</v>
      </c>
      <c r="D4" s="19"/>
      <c r="E4" s="19"/>
      <c r="F4" s="19"/>
      <c r="G4" s="19"/>
      <c r="H4" s="19"/>
      <c r="I4" s="21"/>
      <c r="J4" s="22"/>
      <c r="K4" s="19"/>
    </row>
    <row r="5" spans="2:11" s="12" customFormat="1" ht="22" customHeight="1" thickBot="1" x14ac:dyDescent="0.4">
      <c r="B5" s="23"/>
      <c r="C5" s="24" t="s">
        <v>0</v>
      </c>
      <c r="D5" s="25"/>
      <c r="E5" s="25"/>
      <c r="F5" s="25"/>
      <c r="G5" s="25"/>
      <c r="H5" s="25"/>
      <c r="I5" s="25"/>
      <c r="J5" s="26"/>
      <c r="K5" s="27"/>
    </row>
    <row r="6" spans="2:11" s="11" customFormat="1" ht="18" customHeight="1" x14ac:dyDescent="0.35">
      <c r="B6" s="18"/>
      <c r="C6" s="28" t="s">
        <v>1</v>
      </c>
      <c r="D6" s="29" t="s">
        <v>2</v>
      </c>
      <c r="E6" s="28"/>
      <c r="F6" s="30"/>
      <c r="G6" s="19"/>
      <c r="H6" s="21"/>
      <c r="I6" s="21"/>
      <c r="J6" s="22"/>
      <c r="K6" s="19"/>
    </row>
    <row r="7" spans="2:11" s="11" customFormat="1" ht="18" customHeight="1" x14ac:dyDescent="0.35">
      <c r="B7" s="18"/>
      <c r="C7" s="28" t="s">
        <v>3</v>
      </c>
      <c r="D7" s="29" t="s">
        <v>92</v>
      </c>
      <c r="E7" s="28"/>
      <c r="F7" s="30"/>
      <c r="G7" s="19" t="s">
        <v>79</v>
      </c>
      <c r="H7" s="21"/>
      <c r="I7" s="21"/>
      <c r="J7" s="22"/>
      <c r="K7" s="19"/>
    </row>
    <row r="8" spans="2:11" s="11" customFormat="1" ht="18" customHeight="1" x14ac:dyDescent="0.35">
      <c r="B8" s="18"/>
      <c r="C8" s="28" t="s">
        <v>4</v>
      </c>
      <c r="D8" s="28"/>
      <c r="E8" s="28"/>
      <c r="F8" s="30"/>
      <c r="G8" s="19"/>
      <c r="H8" s="21"/>
      <c r="I8" s="21"/>
      <c r="J8" s="22"/>
      <c r="K8" s="19"/>
    </row>
    <row r="9" spans="2:11" ht="18" customHeight="1" x14ac:dyDescent="0.35">
      <c r="B9" s="31" t="s">
        <v>5</v>
      </c>
      <c r="C9" s="32" t="s">
        <v>6</v>
      </c>
      <c r="D9" s="32"/>
      <c r="E9" s="32"/>
      <c r="F9" s="32"/>
      <c r="G9" s="32"/>
      <c r="H9" s="32"/>
      <c r="I9" s="32"/>
      <c r="J9" s="33"/>
      <c r="K9" s="15"/>
    </row>
    <row r="10" spans="2:11" ht="18" customHeight="1" x14ac:dyDescent="0.35">
      <c r="B10" s="34">
        <v>1</v>
      </c>
      <c r="C10" s="35" t="s">
        <v>7</v>
      </c>
      <c r="D10" s="218" t="s">
        <v>90</v>
      </c>
      <c r="E10" s="219"/>
      <c r="F10" s="219"/>
      <c r="G10" s="220"/>
      <c r="H10" s="36" t="s">
        <v>8</v>
      </c>
      <c r="I10" s="36"/>
      <c r="J10" s="37"/>
      <c r="K10" s="15"/>
    </row>
    <row r="11" spans="2:11" ht="18" customHeight="1" x14ac:dyDescent="0.35">
      <c r="B11" s="38">
        <v>2</v>
      </c>
      <c r="C11" s="39" t="s">
        <v>9</v>
      </c>
      <c r="D11" s="40" t="s">
        <v>10</v>
      </c>
      <c r="E11" s="41">
        <v>46309</v>
      </c>
      <c r="F11" s="40" t="s">
        <v>11</v>
      </c>
      <c r="G11" s="41">
        <v>46313</v>
      </c>
      <c r="H11" s="40" t="s">
        <v>12</v>
      </c>
      <c r="I11" s="42">
        <v>5</v>
      </c>
      <c r="J11" s="43" t="s">
        <v>89</v>
      </c>
      <c r="K11" s="15"/>
    </row>
    <row r="12" spans="2:11" ht="27.75" customHeight="1" x14ac:dyDescent="0.35">
      <c r="B12" s="38">
        <v>3</v>
      </c>
      <c r="C12" s="39" t="s">
        <v>13</v>
      </c>
      <c r="D12" s="212" t="s">
        <v>91</v>
      </c>
      <c r="E12" s="213"/>
      <c r="F12" s="213"/>
      <c r="G12" s="213"/>
      <c r="H12" s="213"/>
      <c r="I12" s="213"/>
      <c r="J12" s="214"/>
      <c r="K12" s="15"/>
    </row>
    <row r="13" spans="2:11" ht="18" customHeight="1" x14ac:dyDescent="0.35">
      <c r="B13" s="38">
        <v>4</v>
      </c>
      <c r="C13" s="40" t="s">
        <v>14</v>
      </c>
      <c r="D13" s="221" t="s">
        <v>93</v>
      </c>
      <c r="E13" s="222"/>
      <c r="F13" s="222"/>
      <c r="G13" s="222"/>
      <c r="H13" s="222"/>
      <c r="I13" s="222"/>
      <c r="J13" s="223"/>
      <c r="K13" s="15"/>
    </row>
    <row r="14" spans="2:11" ht="18" customHeight="1" x14ac:dyDescent="0.35">
      <c r="B14" s="38">
        <v>5</v>
      </c>
      <c r="C14" s="40" t="s">
        <v>15</v>
      </c>
      <c r="D14" s="224"/>
      <c r="E14" s="225"/>
      <c r="F14" s="225"/>
      <c r="G14" s="226"/>
      <c r="H14" s="45" t="s">
        <v>16</v>
      </c>
      <c r="I14" s="227"/>
      <c r="J14" s="228"/>
      <c r="K14" s="15"/>
    </row>
    <row r="15" spans="2:11" ht="18" customHeight="1" x14ac:dyDescent="0.35">
      <c r="B15" s="208">
        <v>6</v>
      </c>
      <c r="C15" s="210" t="s">
        <v>17</v>
      </c>
      <c r="D15" s="47" t="s">
        <v>18</v>
      </c>
      <c r="E15" s="48" t="s">
        <v>19</v>
      </c>
      <c r="F15" s="40" t="s">
        <v>20</v>
      </c>
      <c r="G15" s="47" t="s">
        <v>21</v>
      </c>
      <c r="H15" s="47" t="s">
        <v>22</v>
      </c>
      <c r="I15" s="47"/>
      <c r="J15" s="49" t="s">
        <v>94</v>
      </c>
      <c r="K15" s="15"/>
    </row>
    <row r="16" spans="2:11" ht="18" customHeight="1" x14ac:dyDescent="0.35">
      <c r="B16" s="209"/>
      <c r="C16" s="211"/>
      <c r="D16" s="40">
        <v>15</v>
      </c>
      <c r="E16" s="48"/>
      <c r="F16" s="51">
        <v>0</v>
      </c>
      <c r="G16" s="52">
        <v>1</v>
      </c>
      <c r="H16" s="53">
        <f>SUM(D16:G16)</f>
        <v>16</v>
      </c>
      <c r="I16" s="54"/>
      <c r="J16" s="198">
        <f>G28/D16</f>
        <v>15028000</v>
      </c>
      <c r="K16" s="100"/>
    </row>
    <row r="17" spans="2:17" s="9" customFormat="1" ht="21" customHeight="1" x14ac:dyDescent="0.35">
      <c r="B17" s="38">
        <v>7</v>
      </c>
      <c r="C17" s="44" t="s">
        <v>23</v>
      </c>
      <c r="D17" s="212" t="s">
        <v>84</v>
      </c>
      <c r="E17" s="213"/>
      <c r="F17" s="213"/>
      <c r="G17" s="213"/>
      <c r="H17" s="213"/>
      <c r="I17" s="213"/>
      <c r="J17" s="214"/>
      <c r="K17" s="67"/>
    </row>
    <row r="18" spans="2:17" ht="18" customHeight="1" thickBot="1" x14ac:dyDescent="0.4">
      <c r="B18" s="55">
        <v>8</v>
      </c>
      <c r="C18" s="56" t="s">
        <v>24</v>
      </c>
      <c r="D18" s="57">
        <v>1</v>
      </c>
      <c r="E18" s="58" t="s">
        <v>25</v>
      </c>
      <c r="F18" s="59">
        <v>0</v>
      </c>
      <c r="G18" s="56" t="s">
        <v>26</v>
      </c>
      <c r="H18" s="58"/>
      <c r="I18" s="58" t="s">
        <v>27</v>
      </c>
      <c r="J18" s="60"/>
      <c r="K18" s="15"/>
    </row>
    <row r="19" spans="2:17" s="13" customFormat="1" ht="18" customHeight="1" x14ac:dyDescent="0.35">
      <c r="B19" s="31" t="s">
        <v>28</v>
      </c>
      <c r="C19" s="32" t="s">
        <v>29</v>
      </c>
      <c r="D19" s="32"/>
      <c r="E19" s="32"/>
      <c r="F19" s="32"/>
      <c r="G19" s="32"/>
      <c r="H19" s="32"/>
      <c r="I19" s="32"/>
      <c r="J19" s="33"/>
      <c r="K19" s="61"/>
    </row>
    <row r="20" spans="2:17" s="9" customFormat="1" ht="18" customHeight="1" x14ac:dyDescent="0.35">
      <c r="B20" s="62" t="s">
        <v>30</v>
      </c>
      <c r="C20" s="63" t="s">
        <v>31</v>
      </c>
      <c r="D20" s="63" t="s">
        <v>32</v>
      </c>
      <c r="E20" s="64" t="s">
        <v>33</v>
      </c>
      <c r="F20" s="65" t="s">
        <v>34</v>
      </c>
      <c r="G20" s="63" t="s">
        <v>35</v>
      </c>
      <c r="H20" s="63" t="s">
        <v>36</v>
      </c>
      <c r="I20" s="63" t="s">
        <v>37</v>
      </c>
      <c r="J20" s="66" t="s">
        <v>38</v>
      </c>
      <c r="K20" s="67"/>
    </row>
    <row r="21" spans="2:17" ht="18" customHeight="1" x14ac:dyDescent="0.35">
      <c r="B21" s="199" t="s">
        <v>39</v>
      </c>
      <c r="C21" s="200" t="s">
        <v>40</v>
      </c>
      <c r="D21" s="201"/>
      <c r="E21" s="202"/>
      <c r="F21" s="200"/>
      <c r="G21" s="200">
        <f>G22</f>
        <v>253200000</v>
      </c>
      <c r="H21" s="200"/>
      <c r="I21" s="201"/>
      <c r="J21" s="203"/>
      <c r="K21" s="15"/>
    </row>
    <row r="22" spans="2:17" s="11" customFormat="1" ht="18" customHeight="1" x14ac:dyDescent="0.35">
      <c r="B22" s="68">
        <v>1</v>
      </c>
      <c r="C22" s="69" t="s">
        <v>41</v>
      </c>
      <c r="D22" s="70"/>
      <c r="E22" s="71"/>
      <c r="F22" s="72"/>
      <c r="G22" s="72">
        <f>SUM(G23:G27)</f>
        <v>253200000</v>
      </c>
      <c r="H22" s="72">
        <f>SUM(H25:H25)</f>
        <v>0</v>
      </c>
      <c r="I22" s="73"/>
      <c r="J22" s="74"/>
      <c r="K22" s="19"/>
    </row>
    <row r="23" spans="2:17" ht="18" customHeight="1" x14ac:dyDescent="0.35">
      <c r="B23" s="38"/>
      <c r="C23" s="40" t="s">
        <v>78</v>
      </c>
      <c r="D23" s="75">
        <f>D16</f>
        <v>15</v>
      </c>
      <c r="E23" s="76">
        <v>16880000</v>
      </c>
      <c r="F23" s="77"/>
      <c r="G23" s="48">
        <f>D23*E23</f>
        <v>253200000</v>
      </c>
      <c r="H23" s="51"/>
      <c r="I23" s="78"/>
      <c r="J23" s="79"/>
      <c r="K23" s="15"/>
    </row>
    <row r="24" spans="2:17" ht="18" customHeight="1" x14ac:dyDescent="0.35">
      <c r="B24" s="38"/>
      <c r="C24" s="40" t="s">
        <v>83</v>
      </c>
      <c r="D24" s="75">
        <f>E16</f>
        <v>0</v>
      </c>
      <c r="E24" s="76"/>
      <c r="F24" s="77"/>
      <c r="G24" s="48">
        <f>D24*E24</f>
        <v>0</v>
      </c>
      <c r="H24" s="51"/>
      <c r="I24" s="78"/>
      <c r="J24" s="79"/>
      <c r="K24" s="15"/>
    </row>
    <row r="25" spans="2:17" ht="18" hidden="1" customHeight="1" x14ac:dyDescent="0.35">
      <c r="B25" s="38"/>
      <c r="C25" s="40" t="s">
        <v>19</v>
      </c>
      <c r="D25" s="75">
        <f>$E$16</f>
        <v>0</v>
      </c>
      <c r="E25" s="80"/>
      <c r="F25" s="40"/>
      <c r="G25" s="48">
        <f t="shared" ref="G25:G27" si="0">D25*E25</f>
        <v>0</v>
      </c>
      <c r="H25" s="80"/>
      <c r="I25" s="48"/>
      <c r="J25" s="81"/>
      <c r="K25" s="15"/>
    </row>
    <row r="26" spans="2:17" ht="18" hidden="1" customHeight="1" x14ac:dyDescent="0.35">
      <c r="B26" s="38"/>
      <c r="C26" s="40" t="s">
        <v>20</v>
      </c>
      <c r="D26" s="75">
        <f>$F$16</f>
        <v>0</v>
      </c>
      <c r="E26" s="80"/>
      <c r="F26" s="40"/>
      <c r="G26" s="48">
        <f t="shared" si="0"/>
        <v>0</v>
      </c>
      <c r="H26" s="80"/>
      <c r="I26" s="48"/>
      <c r="J26" s="81"/>
      <c r="K26" s="15"/>
    </row>
    <row r="27" spans="2:17" ht="18" hidden="1" customHeight="1" x14ac:dyDescent="0.35">
      <c r="B27" s="46"/>
      <c r="C27" s="82" t="s">
        <v>42</v>
      </c>
      <c r="D27" s="83">
        <v>0</v>
      </c>
      <c r="E27" s="84"/>
      <c r="F27" s="82"/>
      <c r="G27" s="48">
        <f t="shared" si="0"/>
        <v>0</v>
      </c>
      <c r="H27" s="84"/>
      <c r="I27" s="85"/>
      <c r="J27" s="86"/>
      <c r="K27" s="15"/>
    </row>
    <row r="28" spans="2:17" ht="18" customHeight="1" x14ac:dyDescent="0.35">
      <c r="B28" s="199" t="s">
        <v>43</v>
      </c>
      <c r="C28" s="204" t="s">
        <v>44</v>
      </c>
      <c r="D28" s="205"/>
      <c r="E28" s="206"/>
      <c r="F28" s="204"/>
      <c r="G28" s="201">
        <f>G29+G33</f>
        <v>225420000</v>
      </c>
      <c r="H28" s="200">
        <f>H29+H33</f>
        <v>0</v>
      </c>
      <c r="I28" s="205"/>
      <c r="J28" s="207"/>
      <c r="K28" s="15"/>
    </row>
    <row r="29" spans="2:17" s="11" customFormat="1" ht="18" customHeight="1" x14ac:dyDescent="0.35">
      <c r="B29" s="87">
        <v>1</v>
      </c>
      <c r="C29" s="88" t="s">
        <v>45</v>
      </c>
      <c r="D29" s="89"/>
      <c r="E29" s="90"/>
      <c r="F29" s="91"/>
      <c r="G29" s="92">
        <f>G30</f>
        <v>159152000</v>
      </c>
      <c r="H29" s="92">
        <f>H30</f>
        <v>0</v>
      </c>
      <c r="I29" s="92"/>
      <c r="J29" s="93"/>
      <c r="K29" s="19"/>
    </row>
    <row r="30" spans="2:17" s="11" customFormat="1" ht="18" customHeight="1" x14ac:dyDescent="0.35">
      <c r="B30" s="68"/>
      <c r="C30" s="94" t="s">
        <v>46</v>
      </c>
      <c r="D30" s="70"/>
      <c r="E30" s="95"/>
      <c r="F30" s="69"/>
      <c r="G30" s="96">
        <f>SUM(G31:G32)</f>
        <v>159152000</v>
      </c>
      <c r="H30" s="96">
        <f>SUM(H31:H31)</f>
        <v>0</v>
      </c>
      <c r="I30" s="96"/>
      <c r="J30" s="97"/>
      <c r="K30" s="19"/>
      <c r="Q30" s="181"/>
    </row>
    <row r="31" spans="2:17" x14ac:dyDescent="0.35">
      <c r="B31" s="38"/>
      <c r="C31" s="39" t="s">
        <v>75</v>
      </c>
      <c r="D31" s="75">
        <f>D16</f>
        <v>15</v>
      </c>
      <c r="E31" s="98">
        <v>9947000</v>
      </c>
      <c r="F31" s="75">
        <v>1</v>
      </c>
      <c r="G31" s="78">
        <f>D31*E31*F31</f>
        <v>149205000</v>
      </c>
      <c r="H31" s="80"/>
      <c r="I31" s="78"/>
      <c r="J31" s="99" t="s">
        <v>86</v>
      </c>
      <c r="K31" s="155"/>
      <c r="Q31" s="179"/>
    </row>
    <row r="32" spans="2:17" ht="15.75" customHeight="1" x14ac:dyDescent="0.35">
      <c r="B32" s="38"/>
      <c r="C32" s="39" t="s">
        <v>95</v>
      </c>
      <c r="D32" s="47">
        <f>G16</f>
        <v>1</v>
      </c>
      <c r="E32" s="98">
        <f>E31</f>
        <v>9947000</v>
      </c>
      <c r="F32" s="75">
        <v>1</v>
      </c>
      <c r="G32" s="78">
        <f>D32*E32*F32</f>
        <v>9947000</v>
      </c>
      <c r="H32" s="80"/>
      <c r="I32" s="78"/>
      <c r="J32" s="99"/>
      <c r="K32" s="100"/>
      <c r="Q32" s="180"/>
    </row>
    <row r="33" spans="2:17" s="11" customFormat="1" ht="18" customHeight="1" x14ac:dyDescent="0.35">
      <c r="B33" s="87">
        <v>2</v>
      </c>
      <c r="C33" s="91" t="s">
        <v>47</v>
      </c>
      <c r="D33" s="101"/>
      <c r="E33" s="102"/>
      <c r="F33" s="103"/>
      <c r="G33" s="92">
        <f>G34+G38+G44+G47</f>
        <v>66268000</v>
      </c>
      <c r="H33" s="104">
        <f>SUM(H34:H46)</f>
        <v>0</v>
      </c>
      <c r="I33" s="92"/>
      <c r="J33" s="105">
        <f>SUM(J35:J35)</f>
        <v>0</v>
      </c>
      <c r="K33" s="19"/>
      <c r="Q33" s="181"/>
    </row>
    <row r="34" spans="2:17" s="11" customFormat="1" ht="18" customHeight="1" x14ac:dyDescent="0.35">
      <c r="B34" s="68">
        <v>2.1</v>
      </c>
      <c r="C34" s="69" t="s">
        <v>48</v>
      </c>
      <c r="D34" s="106"/>
      <c r="E34" s="107"/>
      <c r="F34" s="108"/>
      <c r="G34" s="96">
        <f>SUM(G35:G37)</f>
        <v>58300000</v>
      </c>
      <c r="H34" s="109">
        <f>SUM(H35:H35)</f>
        <v>0</v>
      </c>
      <c r="I34" s="96"/>
      <c r="J34" s="110"/>
      <c r="K34" s="19"/>
    </row>
    <row r="35" spans="2:17" s="11" customFormat="1" x14ac:dyDescent="0.35">
      <c r="B35" s="111"/>
      <c r="C35" s="112" t="s">
        <v>87</v>
      </c>
      <c r="D35" s="113">
        <f>D16</f>
        <v>15</v>
      </c>
      <c r="E35" s="98">
        <v>140</v>
      </c>
      <c r="F35" s="114">
        <v>26500</v>
      </c>
      <c r="G35" s="78">
        <f>D35*E35*F35</f>
        <v>55650000</v>
      </c>
      <c r="H35" s="80"/>
      <c r="I35" s="78"/>
      <c r="J35" s="156"/>
      <c r="K35" s="19"/>
    </row>
    <row r="36" spans="2:17" s="11" customFormat="1" ht="18" customHeight="1" x14ac:dyDescent="0.35">
      <c r="B36" s="111"/>
      <c r="C36" s="112" t="s">
        <v>85</v>
      </c>
      <c r="D36" s="113">
        <v>1</v>
      </c>
      <c r="E36" s="98">
        <v>100</v>
      </c>
      <c r="F36" s="114">
        <v>26500</v>
      </c>
      <c r="G36" s="78">
        <f>D36*E36*F36</f>
        <v>2650000</v>
      </c>
      <c r="H36" s="80"/>
      <c r="I36" s="78"/>
      <c r="J36" s="81"/>
      <c r="K36" s="100"/>
    </row>
    <row r="37" spans="2:17" s="11" customFormat="1" ht="18" customHeight="1" x14ac:dyDescent="0.35">
      <c r="B37" s="111"/>
      <c r="C37" s="112" t="s">
        <v>82</v>
      </c>
      <c r="D37" s="113">
        <f>D16+E16</f>
        <v>15</v>
      </c>
      <c r="E37" s="98"/>
      <c r="F37" s="114">
        <f>F36</f>
        <v>26500</v>
      </c>
      <c r="G37" s="78">
        <f t="shared" ref="G37" si="1">D37*E37*F37</f>
        <v>0</v>
      </c>
      <c r="H37" s="80"/>
      <c r="I37" s="78"/>
      <c r="J37" s="81"/>
      <c r="K37" s="19"/>
    </row>
    <row r="38" spans="2:17" ht="18" customHeight="1" x14ac:dyDescent="0.35">
      <c r="B38" s="158">
        <v>2.2000000000000002</v>
      </c>
      <c r="C38" s="36" t="s">
        <v>49</v>
      </c>
      <c r="D38" s="159"/>
      <c r="E38" s="160"/>
      <c r="F38" s="161"/>
      <c r="G38" s="162">
        <f>SUM(G39:G43)</f>
        <v>4480000</v>
      </c>
      <c r="H38" s="163"/>
      <c r="I38" s="164"/>
      <c r="J38" s="165"/>
      <c r="K38" s="100"/>
    </row>
    <row r="39" spans="2:17" ht="18" customHeight="1" x14ac:dyDescent="0.35">
      <c r="B39" s="111"/>
      <c r="C39" s="112" t="s">
        <v>88</v>
      </c>
      <c r="D39" s="113">
        <f>D23+D24</f>
        <v>15</v>
      </c>
      <c r="E39" s="116"/>
      <c r="F39" s="114">
        <v>26500</v>
      </c>
      <c r="G39" s="78">
        <f>D39*E39*F39</f>
        <v>0</v>
      </c>
      <c r="H39" s="80"/>
      <c r="I39" s="80"/>
      <c r="J39" s="117"/>
      <c r="K39" s="15"/>
    </row>
    <row r="40" spans="2:17" ht="18" customHeight="1" x14ac:dyDescent="0.35">
      <c r="B40" s="111"/>
      <c r="C40" s="40" t="s">
        <v>50</v>
      </c>
      <c r="D40" s="113">
        <v>5</v>
      </c>
      <c r="E40" s="76">
        <v>650000</v>
      </c>
      <c r="F40" s="114">
        <v>1</v>
      </c>
      <c r="G40" s="78">
        <f>D40*E40*F40</f>
        <v>3250000</v>
      </c>
      <c r="H40" s="80"/>
      <c r="I40" s="118"/>
      <c r="J40" s="119"/>
      <c r="K40" s="15"/>
    </row>
    <row r="41" spans="2:17" ht="18" customHeight="1" x14ac:dyDescent="0.35">
      <c r="B41" s="111"/>
      <c r="C41" s="40" t="s">
        <v>51</v>
      </c>
      <c r="D41" s="113">
        <v>1</v>
      </c>
      <c r="E41" s="76">
        <v>20</v>
      </c>
      <c r="F41" s="114">
        <v>26500</v>
      </c>
      <c r="G41" s="78">
        <f t="shared" ref="G41:G43" si="2">D41*E41*F41</f>
        <v>530000</v>
      </c>
      <c r="H41" s="80"/>
      <c r="I41" s="78"/>
      <c r="J41" s="81"/>
      <c r="K41" s="15"/>
    </row>
    <row r="42" spans="2:17" ht="18" customHeight="1" x14ac:dyDescent="0.35">
      <c r="B42" s="111"/>
      <c r="C42" s="40" t="s">
        <v>52</v>
      </c>
      <c r="D42" s="113">
        <v>1</v>
      </c>
      <c r="E42" s="76">
        <v>200000</v>
      </c>
      <c r="F42" s="120">
        <v>1</v>
      </c>
      <c r="G42" s="78">
        <f t="shared" si="2"/>
        <v>200000</v>
      </c>
      <c r="H42" s="80"/>
      <c r="I42" s="78"/>
      <c r="J42" s="81"/>
      <c r="K42" s="15"/>
    </row>
    <row r="43" spans="2:17" ht="18" customHeight="1" x14ac:dyDescent="0.35">
      <c r="B43" s="121"/>
      <c r="C43" s="122" t="s">
        <v>53</v>
      </c>
      <c r="D43" s="123">
        <v>1</v>
      </c>
      <c r="E43" s="124">
        <v>500000</v>
      </c>
      <c r="F43" s="166">
        <v>1</v>
      </c>
      <c r="G43" s="126">
        <f t="shared" si="2"/>
        <v>500000</v>
      </c>
      <c r="H43" s="125"/>
      <c r="I43" s="126"/>
      <c r="J43" s="127"/>
      <c r="K43" s="100"/>
    </row>
    <row r="44" spans="2:17" ht="18" customHeight="1" x14ac:dyDescent="0.35">
      <c r="B44" s="68">
        <v>2.2999999999999998</v>
      </c>
      <c r="C44" s="69" t="s">
        <v>54</v>
      </c>
      <c r="D44" s="106"/>
      <c r="E44" s="115"/>
      <c r="F44" s="106"/>
      <c r="G44" s="96">
        <f>SUM(G45:G46)</f>
        <v>3488000</v>
      </c>
      <c r="H44" s="109"/>
      <c r="I44" s="96"/>
      <c r="J44" s="110"/>
      <c r="K44" s="100"/>
    </row>
    <row r="45" spans="2:17" ht="18" customHeight="1" x14ac:dyDescent="0.35">
      <c r="B45" s="111"/>
      <c r="C45" s="40" t="s">
        <v>55</v>
      </c>
      <c r="D45" s="75">
        <f>D39</f>
        <v>15</v>
      </c>
      <c r="E45" s="76">
        <v>0</v>
      </c>
      <c r="F45" s="114">
        <v>26500</v>
      </c>
      <c r="G45" s="78">
        <f>D45*E45*F45</f>
        <v>0</v>
      </c>
      <c r="H45" s="128"/>
      <c r="I45" s="129"/>
      <c r="J45" s="130"/>
      <c r="K45" s="100"/>
    </row>
    <row r="46" spans="2:17" ht="18" customHeight="1" x14ac:dyDescent="0.35">
      <c r="B46" s="157"/>
      <c r="C46" s="82" t="s">
        <v>74</v>
      </c>
      <c r="D46" s="83">
        <f>H16</f>
        <v>16</v>
      </c>
      <c r="E46" s="133">
        <v>218000</v>
      </c>
      <c r="F46" s="167">
        <v>1</v>
      </c>
      <c r="G46" s="16">
        <f t="shared" ref="G46" si="3">D46*E46*F46</f>
        <v>3488000</v>
      </c>
      <c r="H46" s="168"/>
      <c r="I46" s="169"/>
      <c r="J46" s="170"/>
      <c r="K46" s="15"/>
    </row>
    <row r="47" spans="2:17" ht="18" customHeight="1" x14ac:dyDescent="0.35">
      <c r="B47" s="158">
        <v>2.4</v>
      </c>
      <c r="C47" s="36" t="s">
        <v>56</v>
      </c>
      <c r="D47" s="171"/>
      <c r="E47" s="160"/>
      <c r="F47" s="159"/>
      <c r="G47" s="162">
        <f>SUM(G48:G50)</f>
        <v>0</v>
      </c>
      <c r="H47" s="172"/>
      <c r="I47" s="173"/>
      <c r="J47" s="174"/>
      <c r="K47" s="100"/>
    </row>
    <row r="48" spans="2:17" ht="18" customHeight="1" x14ac:dyDescent="0.35">
      <c r="B48" s="111"/>
      <c r="C48" s="40" t="s">
        <v>57</v>
      </c>
      <c r="D48" s="113">
        <f>H16</f>
        <v>16</v>
      </c>
      <c r="E48" s="76"/>
      <c r="F48" s="178">
        <f>F35</f>
        <v>26500</v>
      </c>
      <c r="G48" s="78">
        <f>D48*E48*F48</f>
        <v>0</v>
      </c>
      <c r="H48" s="80"/>
      <c r="I48" s="78"/>
      <c r="J48" s="117"/>
      <c r="K48" s="15"/>
    </row>
    <row r="49" spans="2:11" ht="18" customHeight="1" x14ac:dyDescent="0.35">
      <c r="B49" s="111"/>
      <c r="C49" s="40" t="s">
        <v>76</v>
      </c>
      <c r="D49" s="132">
        <f>D48</f>
        <v>16</v>
      </c>
      <c r="E49" s="133"/>
      <c r="F49" s="120">
        <v>1</v>
      </c>
      <c r="G49" s="78">
        <f>D49*E49*F49</f>
        <v>0</v>
      </c>
      <c r="H49" s="80"/>
      <c r="I49" s="16"/>
      <c r="J49" s="17"/>
      <c r="K49" s="134"/>
    </row>
    <row r="50" spans="2:11" ht="18" customHeight="1" x14ac:dyDescent="0.35">
      <c r="B50" s="175"/>
      <c r="C50" s="176" t="s">
        <v>77</v>
      </c>
      <c r="D50" s="123">
        <f>D48</f>
        <v>16</v>
      </c>
      <c r="E50" s="124"/>
      <c r="F50" s="166">
        <v>1</v>
      </c>
      <c r="G50" s="126">
        <f>D50*E50*F50</f>
        <v>0</v>
      </c>
      <c r="H50" s="177"/>
      <c r="I50" s="126"/>
      <c r="J50" s="135"/>
      <c r="K50" s="134"/>
    </row>
    <row r="51" spans="2:11" ht="18" customHeight="1" x14ac:dyDescent="0.35">
      <c r="B51" s="87" t="s">
        <v>58</v>
      </c>
      <c r="C51" s="91" t="s">
        <v>59</v>
      </c>
      <c r="D51" s="103"/>
      <c r="E51" s="103"/>
      <c r="F51" s="136"/>
      <c r="G51" s="104">
        <f>G21-G28</f>
        <v>27780000</v>
      </c>
      <c r="H51" s="137"/>
      <c r="I51" s="138"/>
      <c r="J51" s="139"/>
      <c r="K51" s="140"/>
    </row>
    <row r="52" spans="2:11" ht="18" customHeight="1" x14ac:dyDescent="0.35">
      <c r="B52" s="50"/>
      <c r="C52" s="141" t="s">
        <v>60</v>
      </c>
      <c r="D52" s="106"/>
      <c r="E52" s="108"/>
      <c r="F52" s="142"/>
      <c r="G52" s="131">
        <f>G51*8%</f>
        <v>2222400</v>
      </c>
      <c r="H52" s="131"/>
      <c r="I52" s="73"/>
      <c r="J52" s="110"/>
      <c r="K52" s="15"/>
    </row>
    <row r="53" spans="2:11" ht="18" customHeight="1" x14ac:dyDescent="0.35">
      <c r="B53" s="38"/>
      <c r="C53" s="40" t="s">
        <v>61</v>
      </c>
      <c r="D53" s="47"/>
      <c r="E53" s="48"/>
      <c r="F53" s="51"/>
      <c r="G53" s="80">
        <v>0</v>
      </c>
      <c r="H53" s="80"/>
      <c r="I53" s="78"/>
      <c r="J53" s="130"/>
      <c r="K53" s="15"/>
    </row>
    <row r="54" spans="2:11" ht="18" customHeight="1" x14ac:dyDescent="0.35">
      <c r="B54" s="38"/>
      <c r="C54" s="40" t="s">
        <v>62</v>
      </c>
      <c r="D54" s="47"/>
      <c r="E54" s="48"/>
      <c r="F54" s="51"/>
      <c r="G54" s="143">
        <f>(G51-G52)/(D16+E16)</f>
        <v>1703840</v>
      </c>
      <c r="H54" s="144"/>
      <c r="I54" s="129"/>
      <c r="J54" s="145"/>
      <c r="K54" s="15"/>
    </row>
    <row r="55" spans="2:11" ht="18" customHeight="1" x14ac:dyDescent="0.35">
      <c r="B55" s="38"/>
      <c r="C55" s="40" t="s">
        <v>63</v>
      </c>
      <c r="D55" s="47"/>
      <c r="E55" s="146"/>
      <c r="F55" s="51"/>
      <c r="G55" s="128">
        <f>G51-G52</f>
        <v>25557600</v>
      </c>
      <c r="H55" s="144"/>
      <c r="I55" s="129"/>
      <c r="J55" s="145"/>
      <c r="K55" s="15"/>
    </row>
    <row r="56" spans="2:11" ht="18" customHeight="1" x14ac:dyDescent="0.35">
      <c r="B56" s="38"/>
      <c r="C56" s="40" t="s">
        <v>64</v>
      </c>
      <c r="D56" s="47"/>
      <c r="E56" s="48"/>
      <c r="F56" s="51"/>
      <c r="G56" s="147">
        <f>$G$55/$G$21</f>
        <v>0.10093838862559242</v>
      </c>
      <c r="H56" s="144"/>
      <c r="I56" s="129"/>
      <c r="J56" s="145"/>
      <c r="K56" s="15"/>
    </row>
    <row r="57" spans="2:11" ht="18" customHeight="1" x14ac:dyDescent="0.35">
      <c r="B57" s="38"/>
      <c r="C57" s="40" t="s">
        <v>65</v>
      </c>
      <c r="D57" s="148"/>
      <c r="E57" s="48"/>
      <c r="F57" s="77"/>
      <c r="G57" s="128">
        <f>G55*G56</f>
        <v>2579742.9611374405</v>
      </c>
      <c r="H57" s="149"/>
      <c r="I57" s="78"/>
      <c r="J57" s="117"/>
      <c r="K57" s="15"/>
    </row>
    <row r="58" spans="2:11" ht="18" customHeight="1" x14ac:dyDescent="0.35">
      <c r="B58" s="38"/>
      <c r="C58" s="40" t="s">
        <v>66</v>
      </c>
      <c r="D58" s="47"/>
      <c r="E58" s="48"/>
      <c r="F58" s="51"/>
      <c r="G58" s="128">
        <f>G55-G57</f>
        <v>22977857.03886256</v>
      </c>
      <c r="H58" s="144"/>
      <c r="I58" s="129"/>
      <c r="J58" s="145"/>
      <c r="K58" s="15"/>
    </row>
    <row r="59" spans="2:11" ht="18" customHeight="1" x14ac:dyDescent="0.35">
      <c r="B59" s="150"/>
      <c r="C59" s="122" t="s">
        <v>67</v>
      </c>
      <c r="D59" s="151"/>
      <c r="E59" s="152"/>
      <c r="F59" s="122"/>
      <c r="G59" s="153">
        <f>$G$58/$G$21</f>
        <v>9.0749830327261291E-2</v>
      </c>
      <c r="H59" s="122"/>
      <c r="I59" s="151"/>
      <c r="J59" s="154"/>
      <c r="K59" s="15"/>
    </row>
    <row r="60" spans="2:11" ht="18" customHeight="1" x14ac:dyDescent="0.35">
      <c r="B60" s="182"/>
      <c r="C60" s="15"/>
      <c r="D60" s="15"/>
      <c r="E60" s="183"/>
      <c r="F60" s="15"/>
      <c r="G60" s="15"/>
      <c r="H60" s="15"/>
      <c r="I60" s="67"/>
      <c r="J60" s="184"/>
    </row>
    <row r="61" spans="2:11" ht="18" customHeight="1" x14ac:dyDescent="0.35">
      <c r="B61" s="182"/>
      <c r="C61" s="19" t="s">
        <v>68</v>
      </c>
      <c r="D61" s="19"/>
      <c r="E61" s="19"/>
      <c r="F61" s="19" t="s">
        <v>69</v>
      </c>
      <c r="G61" s="19"/>
      <c r="H61" s="215" t="s">
        <v>70</v>
      </c>
      <c r="I61" s="215"/>
      <c r="J61" s="216"/>
    </row>
    <row r="62" spans="2:11" ht="18" customHeight="1" x14ac:dyDescent="0.35">
      <c r="B62" s="182"/>
      <c r="C62" s="15"/>
      <c r="D62" s="15"/>
      <c r="E62" s="183"/>
      <c r="F62" s="15"/>
      <c r="G62" s="15"/>
      <c r="H62" s="15"/>
      <c r="I62" s="67"/>
      <c r="J62" s="184"/>
    </row>
    <row r="63" spans="2:11" ht="18" customHeight="1" x14ac:dyDescent="0.35">
      <c r="B63" s="182"/>
      <c r="C63" s="15"/>
      <c r="D63" s="15"/>
      <c r="E63" s="183"/>
      <c r="F63" s="15"/>
      <c r="G63" s="15"/>
      <c r="H63" s="15"/>
      <c r="I63" s="67"/>
      <c r="J63" s="184"/>
    </row>
    <row r="64" spans="2:11" ht="18" customHeight="1" x14ac:dyDescent="0.35">
      <c r="B64" s="182"/>
      <c r="C64" s="15"/>
      <c r="D64" s="15"/>
      <c r="E64" s="183"/>
      <c r="F64" s="15"/>
      <c r="G64" s="15"/>
      <c r="H64" s="15"/>
      <c r="I64" s="67"/>
      <c r="J64" s="184"/>
    </row>
    <row r="65" spans="2:10" ht="18" customHeight="1" x14ac:dyDescent="0.35">
      <c r="B65" s="182"/>
      <c r="C65" s="15"/>
      <c r="D65" s="15"/>
      <c r="E65" s="183"/>
      <c r="F65" s="15"/>
      <c r="G65" s="15"/>
      <c r="H65" s="15"/>
      <c r="I65" s="67"/>
      <c r="J65" s="184"/>
    </row>
    <row r="66" spans="2:10" ht="18" customHeight="1" x14ac:dyDescent="0.35">
      <c r="B66" s="182"/>
      <c r="C66" s="15"/>
      <c r="D66" s="15"/>
      <c r="E66" s="183"/>
      <c r="F66" s="15"/>
      <c r="G66" s="15"/>
      <c r="H66" s="15"/>
      <c r="I66" s="67"/>
      <c r="J66" s="184"/>
    </row>
    <row r="67" spans="2:10" ht="18" customHeight="1" x14ac:dyDescent="0.35">
      <c r="B67" s="182"/>
      <c r="C67" s="15"/>
      <c r="D67" s="15"/>
      <c r="E67" s="183"/>
      <c r="F67" s="15"/>
      <c r="G67" s="15"/>
      <c r="H67" s="15"/>
      <c r="I67" s="67"/>
      <c r="J67" s="184"/>
    </row>
    <row r="68" spans="2:10" ht="18" customHeight="1" x14ac:dyDescent="0.35">
      <c r="B68" s="182"/>
      <c r="C68" s="15"/>
      <c r="D68" s="15"/>
      <c r="E68" s="183"/>
      <c r="F68" s="15"/>
      <c r="G68" s="15"/>
      <c r="H68" s="15"/>
      <c r="I68" s="67"/>
      <c r="J68" s="184"/>
    </row>
    <row r="69" spans="2:10" ht="18" customHeight="1" x14ac:dyDescent="0.35">
      <c r="B69" s="185"/>
      <c r="C69" s="186"/>
      <c r="D69" s="187"/>
      <c r="E69" s="188"/>
      <c r="F69" s="187"/>
      <c r="G69" s="187"/>
      <c r="H69" s="217"/>
      <c r="I69" s="217"/>
      <c r="J69" s="189"/>
    </row>
    <row r="70" spans="2:10" ht="18" customHeight="1" x14ac:dyDescent="0.35">
      <c r="B70" s="182"/>
      <c r="C70" s="19" t="s">
        <v>71</v>
      </c>
      <c r="D70" s="15"/>
      <c r="E70" s="183"/>
      <c r="F70" s="15"/>
      <c r="G70" s="15"/>
      <c r="H70" s="190" t="s">
        <v>72</v>
      </c>
      <c r="I70" s="67"/>
      <c r="J70" s="184"/>
    </row>
    <row r="71" spans="2:10" ht="18" customHeight="1" x14ac:dyDescent="0.35">
      <c r="B71" s="182"/>
      <c r="C71" s="15"/>
      <c r="D71" s="15"/>
      <c r="E71" s="183"/>
      <c r="F71" s="15"/>
      <c r="G71" s="191"/>
      <c r="H71" s="15"/>
      <c r="I71" s="67"/>
      <c r="J71" s="184"/>
    </row>
    <row r="72" spans="2:10" ht="18" customHeight="1" x14ac:dyDescent="0.35">
      <c r="B72" s="182"/>
      <c r="C72" s="15"/>
      <c r="D72" s="15"/>
      <c r="E72" s="183"/>
      <c r="F72" s="15"/>
      <c r="G72" s="191"/>
      <c r="H72" s="15"/>
      <c r="I72" s="67"/>
      <c r="J72" s="184"/>
    </row>
    <row r="73" spans="2:10" ht="18" customHeight="1" x14ac:dyDescent="0.35">
      <c r="B73" s="182"/>
      <c r="C73" s="15"/>
      <c r="D73" s="15"/>
      <c r="E73" s="183"/>
      <c r="F73" s="15"/>
      <c r="G73" s="191"/>
      <c r="H73" s="15"/>
      <c r="I73" s="67"/>
      <c r="J73" s="184"/>
    </row>
    <row r="74" spans="2:10" ht="18" customHeight="1" x14ac:dyDescent="0.35">
      <c r="B74" s="182"/>
      <c r="C74" s="15"/>
      <c r="D74" s="15"/>
      <c r="E74" s="183"/>
      <c r="F74" s="15"/>
      <c r="G74" s="191"/>
      <c r="H74" s="15"/>
      <c r="I74" s="67"/>
      <c r="J74" s="184"/>
    </row>
    <row r="75" spans="2:10" ht="18" customHeight="1" x14ac:dyDescent="0.35">
      <c r="B75" s="182"/>
      <c r="C75" s="15"/>
      <c r="D75" s="15"/>
      <c r="E75" s="183"/>
      <c r="F75" s="15"/>
      <c r="G75" s="191"/>
      <c r="H75" s="15"/>
      <c r="I75" s="67"/>
      <c r="J75" s="184"/>
    </row>
    <row r="76" spans="2:10" ht="18" customHeight="1" x14ac:dyDescent="0.35">
      <c r="B76" s="182"/>
      <c r="C76" s="15"/>
      <c r="D76" s="15"/>
      <c r="E76" s="183"/>
      <c r="F76" s="15"/>
      <c r="G76" s="191"/>
      <c r="H76" s="15"/>
      <c r="I76" s="67"/>
      <c r="J76" s="184"/>
    </row>
    <row r="77" spans="2:10" ht="18" customHeight="1" x14ac:dyDescent="0.35">
      <c r="B77" s="182"/>
      <c r="C77" s="15"/>
      <c r="D77" s="15"/>
      <c r="E77" s="183"/>
      <c r="F77" s="15"/>
      <c r="G77" s="191"/>
      <c r="H77" s="15"/>
      <c r="I77" s="67"/>
      <c r="J77" s="184"/>
    </row>
    <row r="78" spans="2:10" ht="18" customHeight="1" x14ac:dyDescent="0.35">
      <c r="B78" s="182"/>
      <c r="C78" s="15"/>
      <c r="D78" s="15"/>
      <c r="E78" s="183"/>
      <c r="F78" s="15"/>
      <c r="G78" s="191"/>
      <c r="H78" s="15"/>
      <c r="I78" s="67"/>
      <c r="J78" s="184"/>
    </row>
    <row r="79" spans="2:10" ht="18" customHeight="1" x14ac:dyDescent="0.35">
      <c r="B79" s="182"/>
      <c r="C79" s="15"/>
      <c r="D79" s="15"/>
      <c r="E79" s="183"/>
      <c r="F79" s="15"/>
      <c r="G79" s="191"/>
      <c r="H79" s="15"/>
      <c r="I79" s="67"/>
      <c r="J79" s="184"/>
    </row>
    <row r="80" spans="2:10" ht="18" customHeight="1" x14ac:dyDescent="0.35">
      <c r="B80" s="192"/>
      <c r="C80" s="193"/>
      <c r="D80" s="193"/>
      <c r="E80" s="194"/>
      <c r="F80" s="193"/>
      <c r="G80" s="195"/>
      <c r="H80" s="193" t="s">
        <v>73</v>
      </c>
      <c r="I80" s="196"/>
      <c r="J80" s="197"/>
    </row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</sheetData>
  <mergeCells count="10">
    <mergeCell ref="D10:G10"/>
    <mergeCell ref="D12:J12"/>
    <mergeCell ref="D13:J13"/>
    <mergeCell ref="D14:G14"/>
    <mergeCell ref="I14:J14"/>
    <mergeCell ref="B15:B16"/>
    <mergeCell ref="C15:C16"/>
    <mergeCell ref="D17:J17"/>
    <mergeCell ref="H61:J61"/>
    <mergeCell ref="H69:I6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60e7a0-15a4-45dd-9cee-235d591703a0" xsi:nil="true"/>
    <lcf76f155ced4ddcb4097134ff3c332f xmlns="629054d0-7181-431c-b312-a4340da880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9B1E92A34D341B5319B7C5C1AA9CF" ma:contentTypeVersion="13" ma:contentTypeDescription="Create a new document." ma:contentTypeScope="" ma:versionID="689789fa4e931378fa6a88de38ddc0a3">
  <xsd:schema xmlns:xsd="http://www.w3.org/2001/XMLSchema" xmlns:xs="http://www.w3.org/2001/XMLSchema" xmlns:p="http://schemas.microsoft.com/office/2006/metadata/properties" xmlns:ns2="629054d0-7181-431c-b312-a4340da880d4" xmlns:ns3="1a60e7a0-15a4-45dd-9cee-235d591703a0" targetNamespace="http://schemas.microsoft.com/office/2006/metadata/properties" ma:root="true" ma:fieldsID="07956f169693ca62c46dc2f4c0280b2b" ns2:_="" ns3:_="">
    <xsd:import namespace="629054d0-7181-431c-b312-a4340da880d4"/>
    <xsd:import namespace="1a60e7a0-15a4-45dd-9cee-235d591703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054d0-7181-431c-b312-a4340da880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bde562-c077-4006-96b3-d61f055445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0e7a0-15a4-45dd-9cee-235d591703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c6c07b9-9f4f-4500-bbeb-25d3ae6319a1}" ma:internalName="TaxCatchAll" ma:showField="CatchAllData" ma:web="1a60e7a0-15a4-45dd-9cee-235d591703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03F07E-E41C-4A54-BD58-6B1F5EB1D840}">
  <ds:schemaRefs>
    <ds:schemaRef ds:uri="http://schemas.microsoft.com/office/2006/metadata/properties"/>
    <ds:schemaRef ds:uri="http://schemas.microsoft.com/office/infopath/2007/PartnerControls"/>
    <ds:schemaRef ds:uri="1a60e7a0-15a4-45dd-9cee-235d591703a0"/>
    <ds:schemaRef ds:uri="629054d0-7181-431c-b312-a4340da880d4"/>
  </ds:schemaRefs>
</ds:datastoreItem>
</file>

<file path=customXml/itemProps2.xml><?xml version="1.0" encoding="utf-8"?>
<ds:datastoreItem xmlns:ds="http://schemas.openxmlformats.org/officeDocument/2006/customXml" ds:itemID="{65C6515C-D5D8-420A-9E12-45C27FFFDE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129809-1FBB-4503-BF77-B1CF767C0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9054d0-7181-431c-b312-a4340da880d4"/>
    <ds:schemaRef ds:uri="1a60e7a0-15a4-45dd-9cee-235d591703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BKK - 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Luu Hoai Thu</dc:creator>
  <cp:lastModifiedBy>Ngo Tuyet Hue</cp:lastModifiedBy>
  <cp:lastPrinted>2025-05-28T10:55:23Z</cp:lastPrinted>
  <dcterms:created xsi:type="dcterms:W3CDTF">2023-03-24T02:05:49Z</dcterms:created>
  <dcterms:modified xsi:type="dcterms:W3CDTF">2026-06-24T06:47:45Z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0x010100AB59B1E92A34D341B5319B7C5C1AA9CF</vt:lpwstr>
  </property>
</Properties>
</file>