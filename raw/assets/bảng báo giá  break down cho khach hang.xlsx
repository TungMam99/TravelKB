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tiff" ContentType="image/tiff"/>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quynh.htn\Desktop\Form mau goi IT\"/>
    </mc:Choice>
  </mc:AlternateContent>
  <bookViews>
    <workbookView xWindow="0" yWindow="0" windowWidth="21600" windowHeight="9600"/>
  </bookViews>
  <sheets>
    <sheet name="BAO GIA DOT 1 " sheetId="13" r:id="rId1"/>
  </sheets>
  <calcPr calcId="162913"/>
</workbook>
</file>

<file path=xl/calcChain.xml><?xml version="1.0" encoding="utf-8"?>
<calcChain xmlns="http://schemas.openxmlformats.org/spreadsheetml/2006/main">
  <c r="G113" i="13" l="1"/>
  <c r="G111" i="13"/>
  <c r="G110" i="13"/>
  <c r="G109" i="13" l="1"/>
  <c r="G112" i="13" l="1"/>
  <c r="G114" i="13" s="1"/>
  <c r="G64" i="13" l="1"/>
  <c r="G54" i="13" l="1"/>
  <c r="G44" i="13" l="1"/>
  <c r="G47" i="13"/>
  <c r="G46" i="13" l="1"/>
  <c r="G45" i="13"/>
  <c r="G102" i="13"/>
  <c r="G101" i="13"/>
  <c r="G100" i="13"/>
  <c r="G98" i="13"/>
  <c r="G97" i="13"/>
  <c r="G25" i="13"/>
  <c r="G93" i="13" l="1"/>
  <c r="G16" i="13"/>
  <c r="G96" i="13" l="1"/>
  <c r="G95" i="13"/>
  <c r="G43" i="13"/>
  <c r="G94" i="13"/>
  <c r="G92" i="13"/>
  <c r="G90" i="13"/>
  <c r="G89" i="13"/>
  <c r="F38" i="13"/>
  <c r="G38" i="13" s="1"/>
  <c r="G87" i="13"/>
  <c r="G85" i="13"/>
  <c r="G84" i="13"/>
  <c r="G83" i="13"/>
  <c r="G81" i="13"/>
  <c r="G80" i="13"/>
  <c r="G79" i="13"/>
  <c r="G76" i="13"/>
  <c r="G75" i="13"/>
  <c r="G35" i="13"/>
  <c r="G42" i="13"/>
  <c r="G24" i="13"/>
  <c r="G22" i="13"/>
  <c r="G21" i="13"/>
  <c r="G20" i="13"/>
  <c r="G23" i="13"/>
  <c r="G74" i="13" l="1"/>
  <c r="G103" i="13" l="1"/>
  <c r="G91" i="13"/>
  <c r="G88" i="13"/>
  <c r="G86" i="13"/>
  <c r="G82" i="13"/>
  <c r="G78" i="13"/>
  <c r="G73" i="13"/>
  <c r="G72" i="13"/>
  <c r="G71" i="13"/>
  <c r="G70" i="13"/>
  <c r="G99" i="13"/>
  <c r="G68" i="13"/>
  <c r="G67" i="13"/>
  <c r="G66" i="13"/>
  <c r="G65" i="13"/>
  <c r="G63" i="13"/>
  <c r="F62" i="13"/>
  <c r="G62" i="13" s="1"/>
  <c r="G60" i="13"/>
  <c r="G59" i="13"/>
  <c r="G58" i="13"/>
  <c r="G57" i="13"/>
  <c r="G56" i="13"/>
  <c r="G55" i="13"/>
  <c r="G53" i="13"/>
  <c r="G52" i="13"/>
  <c r="G51" i="13"/>
  <c r="G50" i="13"/>
  <c r="G49" i="13"/>
  <c r="G41" i="13"/>
  <c r="G40" i="13"/>
  <c r="G39" i="13"/>
  <c r="G37" i="13"/>
  <c r="G36" i="13"/>
  <c r="G34" i="13"/>
  <c r="G33" i="13"/>
  <c r="G32" i="13"/>
  <c r="G31" i="13"/>
  <c r="G30" i="13"/>
  <c r="G29" i="13"/>
  <c r="G28" i="13"/>
  <c r="G26" i="13"/>
  <c r="G19" i="13"/>
  <c r="G18" i="13"/>
  <c r="G15" i="13"/>
  <c r="G14" i="13" s="1"/>
  <c r="G48" i="13" l="1"/>
  <c r="G27" i="13"/>
  <c r="G61" i="13"/>
  <c r="G69" i="13"/>
  <c r="G77" i="13"/>
  <c r="G17" i="13"/>
  <c r="G105" i="13" s="1"/>
  <c r="G106" i="13" l="1"/>
  <c r="G107" i="13" s="1"/>
  <c r="G108" i="13"/>
  <c r="G115" i="13" s="1"/>
  <c r="G117" i="13" s="1"/>
</calcChain>
</file>

<file path=xl/sharedStrings.xml><?xml version="1.0" encoding="utf-8"?>
<sst xmlns="http://schemas.openxmlformats.org/spreadsheetml/2006/main" count="468" uniqueCount="194">
  <si>
    <t>GALA DINNER</t>
  </si>
  <si>
    <t>STT</t>
  </si>
  <si>
    <t>GHI CHÚ</t>
  </si>
  <si>
    <t>KÍNH GỬI QUÝ KHÁCH HÀNG: CÔNG TY CỔ PHẦN CNG VIỆT NAM</t>
  </si>
  <si>
    <t>NHÂN VIÊN KINH DOANH:</t>
  </si>
  <si>
    <t>ĐỊA ĐIỂM TỔ CHỨC: QUY NHƠN</t>
  </si>
  <si>
    <t>THÔNG TIN LIÊN HỆ:</t>
  </si>
  <si>
    <t>SỐ LƯỢNG KHÁCH: 120 khách đợt 1</t>
  </si>
  <si>
    <t>NGÀY LÀM BÁO GIÁ:</t>
  </si>
  <si>
    <t>GIÁ TRỌN GÓI:           vnđ/ khách</t>
  </si>
  <si>
    <t xml:space="preserve">HIỆU LỰC BÁO GIÁ: </t>
  </si>
  <si>
    <t>16:00 ngày 25.07.2022</t>
  </si>
  <si>
    <t>Lời đầu tiên, HỒNG NGỌC HÀ xin gửi lời Cảm ơn chân thành và sâu sắc nhất đến Quý Khách Hàng đã tin tưởng hợp tác và sử dụng dịch dịch vụ của Công ty chúng tôi. Sự tin tưởng cùa Quý Khách đã góp phần quyết định sự phát triển và thành công của HỒNG NGỌC HÀ trong thời gian qua. Thay mặt Công ty, tôi xin gửi tới Quý Khách Hàng, Bảng báo giá với nội dung sau:</t>
  </si>
  <si>
    <t>HẠNG MỤC</t>
  </si>
  <si>
    <t>SL</t>
  </si>
  <si>
    <t>Đ.V.T</t>
  </si>
  <si>
    <t>Lượt</t>
  </si>
  <si>
    <r>
      <rPr>
        <b/>
        <sz val="14"/>
        <color theme="1"/>
        <rFont val="Times New Roman"/>
        <family val="1"/>
      </rPr>
      <t xml:space="preserve">ĐƠN GIÁ
</t>
    </r>
    <r>
      <rPr>
        <b/>
        <sz val="12"/>
        <color theme="1"/>
        <rFont val="Times New Roman"/>
        <family val="1"/>
      </rPr>
      <t>(VNĐ)</t>
    </r>
  </si>
  <si>
    <r>
      <rPr>
        <b/>
        <sz val="14"/>
        <color theme="1"/>
        <rFont val="Times New Roman"/>
        <family val="1"/>
      </rPr>
      <t xml:space="preserve">THÀNH TIỀN
</t>
    </r>
    <r>
      <rPr>
        <b/>
        <sz val="12"/>
        <color theme="1"/>
        <rFont val="Times New Roman"/>
        <family val="1"/>
      </rPr>
      <t>(VNĐ)</t>
    </r>
  </si>
  <si>
    <t>I</t>
  </si>
  <si>
    <t>KHÁCH SẠN</t>
  </si>
  <si>
    <t>19-21.08</t>
  </si>
  <si>
    <t>FLC GRAND</t>
  </si>
  <si>
    <t>khách</t>
  </si>
  <si>
    <t>1</t>
  </si>
  <si>
    <t>II</t>
  </si>
  <si>
    <t>VẬN CHUYỂN</t>
  </si>
  <si>
    <t>Xe 45 chỗ</t>
  </si>
  <si>
    <t>4</t>
  </si>
  <si>
    <t>xe</t>
  </si>
  <si>
    <t>Xe đón tại Quy Nhơn</t>
  </si>
  <si>
    <t>2</t>
  </si>
  <si>
    <t>Đón tại Hanoi đưa ra SB Nội Bài</t>
  </si>
  <si>
    <t>3</t>
  </si>
  <si>
    <t>Set Menu</t>
  </si>
  <si>
    <t xml:space="preserve">Free Flow nước uống trong bữa tiệc 3  giờ </t>
  </si>
  <si>
    <t>Gói</t>
  </si>
  <si>
    <t>Màn hình led (3m x7m)</t>
  </si>
  <si>
    <t>5</t>
  </si>
  <si>
    <t xml:space="preserve">Ban nhạc Acoustic </t>
  </si>
  <si>
    <t>máy</t>
  </si>
  <si>
    <t>6</t>
  </si>
  <si>
    <t>Ca sĩ</t>
  </si>
  <si>
    <t>7</t>
  </si>
  <si>
    <t>Quà và game trong Gala</t>
  </si>
  <si>
    <t>phần</t>
  </si>
  <si>
    <t>8</t>
  </si>
  <si>
    <t>gói</t>
  </si>
  <si>
    <t>9</t>
  </si>
  <si>
    <t>10</t>
  </si>
  <si>
    <t>III</t>
  </si>
  <si>
    <t>GÓI DỊCH VỤ  KHÁC &amp; NHÂN SỰ</t>
  </si>
  <si>
    <t>Người</t>
  </si>
  <si>
    <t>Nước, khăn lạnh</t>
  </si>
  <si>
    <t>Chụp hình, Quay phim + flycam</t>
  </si>
  <si>
    <t>03 nhân sự điều phối của HNH</t>
  </si>
  <si>
    <t>cái</t>
  </si>
  <si>
    <t>Phòng, ăn uống cho  04 HDV và 03 nhân sự điều phối</t>
  </si>
  <si>
    <t>GÓI TEAM BUILDING</t>
  </si>
  <si>
    <t>Vật dụng, phí huấn luyện, nhân sự cho Teambuilding, 
sản xuất dụng cụ games, Poster, dụng cụ chơi team, Khung, bằng chứng nhận.</t>
  </si>
  <si>
    <t>Ăn và ở nhân sự gói team</t>
  </si>
  <si>
    <t>Âm thanh team building</t>
  </si>
  <si>
    <t>phòng</t>
  </si>
  <si>
    <t>Phí Thuê Balllroom 1 ngày làm Teambuilding</t>
  </si>
  <si>
    <t>Tea break chơi team</t>
  </si>
  <si>
    <t>Tham quan làng nón và trải nghiệm làm nón</t>
  </si>
  <si>
    <t>Chi phí khảo sát trước khi đoàn đi</t>
  </si>
  <si>
    <t>0</t>
  </si>
  <si>
    <t>IV</t>
  </si>
  <si>
    <t>THAM QUAN</t>
  </si>
  <si>
    <t>Eo Gió</t>
  </si>
  <si>
    <t>Bảo tàng Quang Trung</t>
  </si>
  <si>
    <t>Kỳ Co</t>
  </si>
  <si>
    <t>Trung Lương</t>
  </si>
  <si>
    <t>Ăn trưa ngày 2 tại khách sạn</t>
  </si>
  <si>
    <t>Ăn trưa ngày 3</t>
  </si>
  <si>
    <t>Tổng giá chưa bao gồm VAT (8%)</t>
  </si>
  <si>
    <t>Thuế giá trị gia tăng VAT (8%)</t>
  </si>
  <si>
    <t>120</t>
  </si>
  <si>
    <t>Âm  thanh, ánh sáng sân khấu , karaoke cơ bản</t>
  </si>
  <si>
    <t>20</t>
  </si>
  <si>
    <t>11</t>
  </si>
  <si>
    <t>Âm  thanh welcome dinner</t>
  </si>
  <si>
    <t>12</t>
  </si>
  <si>
    <t>Bắn pháo giấy</t>
  </si>
  <si>
    <t>Cây</t>
  </si>
  <si>
    <t>13</t>
  </si>
  <si>
    <t>Bánh kem</t>
  </si>
  <si>
    <t>Cái</t>
  </si>
  <si>
    <t>14</t>
  </si>
  <si>
    <t>Công tác phí HDV Hanoi tiễn đoàn</t>
  </si>
  <si>
    <t>Bảo hiểm</t>
  </si>
  <si>
    <t>Nón CNG</t>
  </si>
  <si>
    <t>Tiền thưởng cho nhân sự CNG chơi team</t>
  </si>
  <si>
    <t>HDV đón và tiễn đoàn VTau - SGN - Vtau</t>
  </si>
  <si>
    <t>V</t>
  </si>
  <si>
    <t>VI</t>
  </si>
  <si>
    <t>VII</t>
  </si>
  <si>
    <t>GÓI IN ÂN</t>
  </si>
  <si>
    <t>In ấn</t>
  </si>
  <si>
    <t>VIII</t>
  </si>
  <si>
    <t>Chi phí ăn sáng ngày đầu từ Vũng Tàu, ăn nhẹ trên xe</t>
  </si>
  <si>
    <t>Phí dịch vụ Hồng Ngọc Hà (7%)</t>
  </si>
  <si>
    <t>Xe OB CNG phát sinh</t>
  </si>
  <si>
    <t>Xe 29</t>
  </si>
  <si>
    <t>Đón sân bay về Hanoi</t>
  </si>
  <si>
    <t>Đón sân bay về Hanoi nhóm 8 khách</t>
  </si>
  <si>
    <t>Xe 16</t>
  </si>
  <si>
    <t>Xe 7 chỗ đi Thái Bình</t>
  </si>
  <si>
    <t>Xe 16 chỗ</t>
  </si>
  <si>
    <t>Xe Vũng Tàu - Sài Gòn - Vũng Tàu</t>
  </si>
  <si>
    <t>Xe đón tại Sài Gòn - Vũng Tàu chuyến 17:15</t>
  </si>
  <si>
    <t>Xe limousine OB CNG</t>
  </si>
  <si>
    <t>116</t>
  </si>
  <si>
    <t>30</t>
  </si>
  <si>
    <t>Champange</t>
  </si>
  <si>
    <t>Chai</t>
  </si>
  <si>
    <t>Nhóm múa Hawaii</t>
  </si>
  <si>
    <t>15</t>
  </si>
  <si>
    <t>16</t>
  </si>
  <si>
    <t>Welcome dinner - 3 nghệ sĩ chơi violin và saxofone</t>
  </si>
  <si>
    <t>Công tác phí HDV</t>
  </si>
  <si>
    <t>2 ngày team, giảm 7 200 000</t>
  </si>
  <si>
    <t>Miễn phí</t>
  </si>
  <si>
    <t>36</t>
  </si>
  <si>
    <t>chuyến bay sớm điều chỉnh giảm</t>
  </si>
  <si>
    <t>Standy</t>
  </si>
  <si>
    <t>Ăn trưa ngày 1 nhà hàng Mậu</t>
  </si>
  <si>
    <t>Nước phát sinh nhà hàng Mậu</t>
  </si>
  <si>
    <t xml:space="preserve">Loa âm thanh thuê tại Mậu </t>
  </si>
  <si>
    <t>Phụ thu rượu tại nhà hàng Mậu</t>
  </si>
  <si>
    <t>Ăn tối ngày 1 tại Hoàng Thao</t>
  </si>
  <si>
    <t>Hoàng Thao ốc hương</t>
  </si>
  <si>
    <t>Phần</t>
  </si>
  <si>
    <t>Hoàng Thao nước phát sinh</t>
  </si>
  <si>
    <t>Suối 82 chai, pepsi 31, tiger nâu 75 chai</t>
  </si>
  <si>
    <t>Rượu bầu đá</t>
  </si>
  <si>
    <t>Phát sinh nước ăn trưa ngày 2 tại khách sạn</t>
  </si>
  <si>
    <t>Nước phát sinh gala</t>
  </si>
  <si>
    <t>Soft drink, beer</t>
  </si>
  <si>
    <t>Phát sinh nước Nam Khải Phát trưa ngày 3</t>
  </si>
  <si>
    <t>Phát sinh nước nhà hàng Mộc Việt trưa ngày 3</t>
  </si>
  <si>
    <t>Bánh ăn nhẹ tại Quy Nhơn cho đoàn</t>
  </si>
  <si>
    <t>Bồi dưỡng cho Ban nhạc</t>
  </si>
  <si>
    <t>Bồi dưỡng cho đội phục vụ Gala</t>
  </si>
  <si>
    <t>Bồi dưỡng cho đội phục vụ Hoàng Thao</t>
  </si>
  <si>
    <t>Tip HDV+ tài xế</t>
  </si>
  <si>
    <t>Vật dụng y tế</t>
  </si>
  <si>
    <t>Bánh mỳ</t>
  </si>
  <si>
    <t>Đoàn Hà Nội không mua</t>
  </si>
  <si>
    <t>Thùng nước tại SG</t>
  </si>
  <si>
    <t xml:space="preserve">Phụ </t>
  </si>
  <si>
    <t>Phụ thu phòng đơn 3 phòng VIP</t>
  </si>
  <si>
    <t>Karaoke tại khách sạn+giặt ủi+ ăn uống phòng 7528</t>
  </si>
  <si>
    <t>Bill nhà hàng phòng 7416 +7415</t>
  </si>
  <si>
    <t>Xe 16 chỗ OB HNH</t>
  </si>
  <si>
    <t>Xe OB làm việc</t>
  </si>
  <si>
    <t>17</t>
  </si>
  <si>
    <t>18</t>
  </si>
  <si>
    <t>19</t>
  </si>
  <si>
    <t>Bánh ít + ship</t>
  </si>
  <si>
    <t>Tiền gói quà mang BTC mang về SG</t>
  </si>
  <si>
    <t>21</t>
  </si>
  <si>
    <t>NHÀ HÀNG + CHI PHÍ KHÁC</t>
  </si>
  <si>
    <t>22</t>
  </si>
  <si>
    <t>Phòng</t>
  </si>
  <si>
    <t xml:space="preserve">Giá phòng trip, Offer miễn phí 1 phòng </t>
  </si>
  <si>
    <t>Sắp xếp phòng VIP tại FLC Grand</t>
  </si>
  <si>
    <t>Sắp xếp rượu phòng VIP</t>
  </si>
  <si>
    <t>23</t>
  </si>
  <si>
    <t>Phòng BTC CNG đi trước</t>
  </si>
  <si>
    <t>24</t>
  </si>
  <si>
    <t>25</t>
  </si>
  <si>
    <t xml:space="preserve"> Phí mang rượu vào gala</t>
  </si>
  <si>
    <r>
      <rPr>
        <b/>
        <sz val="20"/>
        <color theme="1"/>
        <rFont val="Times New Roman"/>
        <family val="1"/>
      </rPr>
      <t>BẢNG GIÁ THỰC TẾ DỊCH VỤ</t>
    </r>
    <r>
      <rPr>
        <b/>
        <sz val="18"/>
        <color theme="1"/>
        <rFont val="Times New Roman"/>
        <family val="1"/>
      </rPr>
      <t xml:space="preserve"> QUI NHƠN</t>
    </r>
  </si>
  <si>
    <t>Thảm phủ màu đen sân khấu</t>
  </si>
  <si>
    <t>Tip quay phim chụp hình</t>
  </si>
  <si>
    <t>Tiền phát sinh gói Teambuilding</t>
  </si>
  <si>
    <t>HNH Hỗ Trợ</t>
  </si>
  <si>
    <t>Phí dịch vụ vé máy bay</t>
  </si>
  <si>
    <t>Tổng tiền vé máy bay</t>
  </si>
  <si>
    <t xml:space="preserve">Tổng chi phí </t>
  </si>
  <si>
    <t>Tổng chi phí tour (chưa bao gồm vé)</t>
  </si>
  <si>
    <t>88</t>
  </si>
  <si>
    <t>HNH đã hỗ trợ 6 phần tương đương 50%</t>
  </si>
  <si>
    <r>
      <t xml:space="preserve">THỜI GIAN THỰC HIỆN: </t>
    </r>
    <r>
      <rPr>
        <b/>
        <sz val="12"/>
        <color rgb="FFFF0000"/>
        <rFont val="Times New Roman"/>
        <family val="1"/>
      </rPr>
      <t>19-21/08/2022</t>
    </r>
  </si>
  <si>
    <t>127</t>
  </si>
  <si>
    <t>Trừ thêm 10 triệu khảo sát</t>
  </si>
  <si>
    <t>CHI PHÍ CÒN LẠI CẦN THANH TOÁN</t>
  </si>
  <si>
    <t>Tiền vé máy nhóm Huấn Luyện BSTA</t>
  </si>
  <si>
    <t>Tiền vé cho 4 HDV</t>
  </si>
  <si>
    <t>Tiền vé cho 3 nhân sự điều hành</t>
  </si>
  <si>
    <t>Tiền vé máy bay của đoàn</t>
  </si>
  <si>
    <t>Bồi dưỡng cho Nhóm múa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</si>
</sst>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1" formatCode="_(* #,##0_);_(* \(#,##0\);_(* &quot;-&quot;_);_(@_)"/>
    <numFmt numFmtId="43" formatCode="_(* #,##0.00_);_(* \(#,##0.00\);_(* &quot;-&quot;??_);_(@_)"/>
    <numFmt numFmtId="164" formatCode="_(* #,##0_);_(* \(#,##0\);_(* &quot;-&quot;??_);_(@_)"/>
  </numFmts>
  <fonts count="35">
    <font>
      <sz val="12"/>
      <color theme="1"/>
      <name val="Calibri"/>
      <charset val="134"/>
      <scheme val="minor"/>
    </font>
    <font>
      <sz val="11"/>
      <color theme="1"/>
      <name val="Times New Roman"/>
      <family val="1"/>
    </font>
    <font>
      <b/>
      <sz val="18"/>
      <color theme="1"/>
      <name val="Times New Roman"/>
      <family val="1"/>
    </font>
    <font>
      <b/>
      <sz val="12"/>
      <color theme="1"/>
      <name val="Times New Roman"/>
      <family val="1"/>
    </font>
    <font>
      <sz val="12"/>
      <color theme="1"/>
      <name val="Times New Roman"/>
      <family val="1"/>
    </font>
    <font>
      <u/>
      <sz val="12"/>
      <color theme="10"/>
      <name val="Times New Roman"/>
      <family val="1"/>
    </font>
    <font>
      <b/>
      <sz val="14"/>
      <color theme="1"/>
      <name val="Times New Roman"/>
      <family val="1"/>
    </font>
    <font>
      <b/>
      <sz val="12"/>
      <color rgb="FFFF0000"/>
      <name val="Times New Roman"/>
      <family val="1"/>
    </font>
    <font>
      <sz val="12"/>
      <color rgb="FFFF0000"/>
      <name val="Times New Roman"/>
      <family val="1"/>
    </font>
    <font>
      <sz val="12"/>
      <name val="Times New Roman"/>
      <family val="1"/>
    </font>
    <font>
      <sz val="10"/>
      <name val="Times New Roman"/>
      <family val="1"/>
    </font>
    <font>
      <i/>
      <sz val="12"/>
      <color rgb="FFFF0000"/>
      <name val="Times New Roman"/>
      <family val="1"/>
    </font>
    <font>
      <sz val="10"/>
      <color rgb="FFFF0000"/>
      <name val="Times New Roman"/>
      <family val="1"/>
    </font>
    <font>
      <sz val="10"/>
      <color theme="1"/>
      <name val="Times New Roman"/>
      <family val="1"/>
    </font>
    <font>
      <b/>
      <sz val="14"/>
      <color rgb="FF002060"/>
      <name val="Times New Roman"/>
      <family val="1"/>
    </font>
    <font>
      <sz val="14"/>
      <color theme="1"/>
      <name val="Times New Roman"/>
      <family val="1"/>
    </font>
    <font>
      <b/>
      <sz val="10"/>
      <name val="Times New Roman"/>
      <family val="1"/>
    </font>
    <font>
      <sz val="11"/>
      <color theme="1"/>
      <name val="Calibri"/>
      <family val="2"/>
      <scheme val="minor"/>
    </font>
    <font>
      <u/>
      <sz val="11"/>
      <color theme="10"/>
      <name val="Calibri"/>
      <family val="2"/>
      <scheme val="minor"/>
    </font>
    <font>
      <sz val="10"/>
      <name val="Arial"/>
      <family val="2"/>
    </font>
    <font>
      <sz val="12"/>
      <name val="VNI-Helve"/>
      <charset val="134"/>
    </font>
    <font>
      <b/>
      <sz val="20"/>
      <color theme="1"/>
      <name val="Times New Roman"/>
      <family val="1"/>
    </font>
    <font>
      <sz val="12"/>
      <color theme="1"/>
      <name val="Calibri"/>
      <family val="2"/>
      <scheme val="minor"/>
    </font>
    <font>
      <sz val="12"/>
      <color rgb="FFFF0000"/>
      <name val="Times New Roman"/>
      <family val="1"/>
    </font>
    <font>
      <sz val="12"/>
      <name val="Times New Roman"/>
      <family val="1"/>
    </font>
    <font>
      <sz val="12"/>
      <color theme="1"/>
      <name val="Times New Roman"/>
      <family val="1"/>
    </font>
    <font>
      <sz val="10"/>
      <name val="Times New Roman"/>
      <family val="1"/>
    </font>
    <font>
      <sz val="11"/>
      <name val="Times New Roman"/>
      <family val="1"/>
    </font>
    <font>
      <sz val="12"/>
      <name val="Calibri"/>
      <family val="2"/>
      <scheme val="minor"/>
    </font>
    <font>
      <b/>
      <sz val="12"/>
      <color theme="1"/>
      <name val="Times New Roman"/>
      <family val="1"/>
    </font>
    <font>
      <sz val="11"/>
      <color theme="1"/>
      <name val="Times New Roman"/>
      <family val="1"/>
    </font>
    <font>
      <sz val="10"/>
      <color theme="1"/>
      <name val="Times New Roman"/>
      <family val="1"/>
    </font>
    <font>
      <b/>
      <sz val="18"/>
      <color theme="1"/>
      <name val="Times New Roman"/>
      <family val="1"/>
    </font>
    <font>
      <b/>
      <sz val="14"/>
      <color theme="1"/>
      <name val="Times New Roman"/>
      <family val="1"/>
    </font>
    <font>
      <b/>
      <sz val="14"/>
      <color rgb="FFFF0000"/>
      <name val="Times New Roman"/>
      <family val="1"/>
    </font>
  </fonts>
  <fills count="7">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FFFF00"/>
        <bgColor indexed="64"/>
      </patternFill>
    </fill>
    <fill>
      <patternFill patternType="solid">
        <fgColor theme="7"/>
        <bgColor indexed="64"/>
      </patternFill>
    </fill>
    <fill>
      <patternFill patternType="lightUp"/>
    </fill>
  </fills>
  <borders count="24">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style="hair">
        <color auto="1"/>
      </top>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right style="thin">
        <color auto="1"/>
      </right>
      <top/>
      <bottom/>
      <diagonal/>
    </border>
  </borders>
  <cellStyleXfs count="8">
    <xf numFmtId="0" fontId="0" fillId="0" borderId="0"/>
    <xf numFmtId="43" fontId="22" fillId="0" borderId="0" applyFont="0" applyFill="0" applyBorder="0" applyAlignment="0" applyProtection="0"/>
    <xf numFmtId="0" fontId="18" fillId="0" borderId="0" applyNumberFormat="0" applyFill="0" applyBorder="0" applyAlignment="0" applyProtection="0"/>
    <xf numFmtId="0" fontId="19" fillId="0" borderId="0"/>
    <xf numFmtId="0" fontId="17" fillId="0" borderId="0"/>
    <xf numFmtId="41" fontId="19" fillId="0" borderId="0" applyFont="0" applyFill="0" applyBorder="0" applyAlignment="0" applyProtection="0"/>
    <xf numFmtId="43" fontId="17" fillId="0" borderId="0" applyFont="0" applyFill="0" applyBorder="0" applyAlignment="0" applyProtection="0"/>
    <xf numFmtId="0" fontId="20" fillId="0" borderId="0"/>
  </cellStyleXfs>
  <cellXfs count="191">
    <xf numFmtId="0" fontId="0" fillId="0" borderId="0" xfId="0"/>
    <xf numFmtId="0" fontId="1" fillId="0" borderId="0" xfId="0" applyNumberFormat="1" applyFont="1"/>
    <xf numFmtId="0" fontId="1" fillId="0" borderId="0" xfId="0" applyFont="1"/>
    <xf numFmtId="164" fontId="1" fillId="0" borderId="0" xfId="0" applyNumberFormat="1" applyFont="1"/>
    <xf numFmtId="0" fontId="3" fillId="0" borderId="2" xfId="7" applyNumberFormat="1" applyFont="1" applyBorder="1" applyAlignment="1">
      <alignment horizontal="center" vertical="center" wrapText="1"/>
    </xf>
    <xf numFmtId="0" fontId="4" fillId="0" borderId="3" xfId="7" applyNumberFormat="1" applyFont="1" applyBorder="1" applyAlignment="1">
      <alignment horizontal="center" vertical="center" wrapText="1"/>
    </xf>
    <xf numFmtId="0" fontId="4" fillId="0" borderId="3" xfId="3" applyNumberFormat="1" applyFont="1" applyBorder="1" applyAlignment="1">
      <alignment horizontal="center" vertical="center" wrapText="1"/>
    </xf>
    <xf numFmtId="0" fontId="6" fillId="3" borderId="14" xfId="6" applyNumberFormat="1" applyFont="1" applyFill="1" applyBorder="1" applyAlignment="1">
      <alignment horizontal="center" vertical="center"/>
    </xf>
    <xf numFmtId="164" fontId="6" fillId="3" borderId="15" xfId="6" applyNumberFormat="1" applyFont="1" applyFill="1" applyBorder="1" applyAlignment="1">
      <alignment horizontal="left" vertical="center"/>
    </xf>
    <xf numFmtId="3" fontId="3" fillId="3" borderId="15" xfId="1" applyNumberFormat="1" applyFont="1" applyFill="1" applyBorder="1" applyAlignment="1">
      <alignment vertical="center"/>
    </xf>
    <xf numFmtId="0" fontId="6" fillId="5" borderId="16" xfId="6" applyNumberFormat="1" applyFont="1" applyFill="1" applyBorder="1" applyAlignment="1">
      <alignment vertical="center"/>
    </xf>
    <xf numFmtId="0" fontId="7" fillId="0" borderId="14" xfId="6" applyNumberFormat="1" applyFont="1" applyFill="1" applyBorder="1" applyAlignment="1">
      <alignment horizontal="center" vertical="center"/>
    </xf>
    <xf numFmtId="49" fontId="7" fillId="0" borderId="15" xfId="6" applyNumberFormat="1" applyFont="1" applyFill="1" applyBorder="1" applyAlignment="1">
      <alignment horizontal="left" vertical="center" wrapText="1"/>
    </xf>
    <xf numFmtId="49" fontId="4" fillId="2" borderId="15" xfId="6" applyNumberFormat="1" applyFont="1" applyFill="1" applyBorder="1" applyAlignment="1">
      <alignment horizontal="center" vertical="center"/>
    </xf>
    <xf numFmtId="49" fontId="4" fillId="0" borderId="15" xfId="6" applyNumberFormat="1" applyFont="1" applyFill="1" applyBorder="1" applyAlignment="1">
      <alignment horizontal="center" vertical="center"/>
    </xf>
    <xf numFmtId="3" fontId="8" fillId="2" borderId="15" xfId="0" applyNumberFormat="1" applyFont="1" applyFill="1" applyBorder="1" applyAlignment="1">
      <alignment horizontal="right" vertical="center"/>
    </xf>
    <xf numFmtId="3" fontId="4" fillId="0" borderId="15" xfId="1" applyNumberFormat="1" applyFont="1" applyFill="1" applyBorder="1" applyAlignment="1">
      <alignment vertical="center"/>
    </xf>
    <xf numFmtId="0" fontId="9" fillId="0" borderId="16" xfId="0" applyNumberFormat="1" applyFont="1" applyFill="1" applyBorder="1" applyAlignment="1">
      <alignment horizontal="left" vertical="center" wrapText="1"/>
    </xf>
    <xf numFmtId="49" fontId="6" fillId="3" borderId="14" xfId="6" applyNumberFormat="1" applyFont="1" applyFill="1" applyBorder="1" applyAlignment="1">
      <alignment horizontal="center" vertical="center"/>
    </xf>
    <xf numFmtId="49" fontId="6" fillId="3" borderId="15" xfId="6" applyNumberFormat="1" applyFont="1" applyFill="1" applyBorder="1" applyAlignment="1">
      <alignment horizontal="left" vertical="center"/>
    </xf>
    <xf numFmtId="49" fontId="6" fillId="5" borderId="16" xfId="6" applyNumberFormat="1" applyFont="1" applyFill="1" applyBorder="1" applyAlignment="1">
      <alignment horizontal="right" vertical="center"/>
    </xf>
    <xf numFmtId="49" fontId="9" fillId="0" borderId="15" xfId="6" applyNumberFormat="1" applyFont="1" applyFill="1" applyBorder="1" applyAlignment="1">
      <alignment horizontal="left" vertical="center" wrapText="1"/>
    </xf>
    <xf numFmtId="3" fontId="9" fillId="2" borderId="15" xfId="0" applyNumberFormat="1" applyFont="1" applyFill="1" applyBorder="1" applyAlignment="1">
      <alignment horizontal="right" vertical="center"/>
    </xf>
    <xf numFmtId="0" fontId="8" fillId="0" borderId="16" xfId="0" applyNumberFormat="1" applyFont="1" applyFill="1" applyBorder="1" applyAlignment="1">
      <alignment horizontal="left" vertical="center" wrapText="1"/>
    </xf>
    <xf numFmtId="49" fontId="4" fillId="2" borderId="14" xfId="6" applyNumberFormat="1" applyFont="1" applyFill="1" applyBorder="1" applyAlignment="1">
      <alignment horizontal="center" vertical="center"/>
    </xf>
    <xf numFmtId="49" fontId="10" fillId="0" borderId="15" xfId="6" applyNumberFormat="1" applyFont="1" applyFill="1" applyBorder="1" applyAlignment="1">
      <alignment horizontal="left" vertical="center" wrapText="1"/>
    </xf>
    <xf numFmtId="3" fontId="4" fillId="0" borderId="15" xfId="0" applyNumberFormat="1" applyFont="1" applyBorder="1" applyAlignment="1">
      <alignment horizontal="right" vertical="center"/>
    </xf>
    <xf numFmtId="49" fontId="9" fillId="0" borderId="16" xfId="0" applyNumberFormat="1" applyFont="1" applyFill="1" applyBorder="1" applyAlignment="1">
      <alignment horizontal="center" vertical="center" wrapText="1"/>
    </xf>
    <xf numFmtId="3" fontId="8" fillId="0" borderId="15" xfId="0" applyNumberFormat="1" applyFont="1" applyBorder="1" applyAlignment="1">
      <alignment horizontal="right" vertical="center"/>
    </xf>
    <xf numFmtId="3" fontId="9" fillId="0" borderId="15" xfId="0" applyNumberFormat="1" applyFont="1" applyBorder="1" applyAlignment="1">
      <alignment horizontal="right" vertical="center"/>
    </xf>
    <xf numFmtId="49" fontId="11" fillId="0" borderId="16" xfId="0" applyNumberFormat="1" applyFont="1" applyFill="1" applyBorder="1" applyAlignment="1">
      <alignment horizontal="left" vertical="center" wrapText="1"/>
    </xf>
    <xf numFmtId="49" fontId="12" fillId="0" borderId="15" xfId="6" applyNumberFormat="1" applyFont="1" applyFill="1" applyBorder="1" applyAlignment="1">
      <alignment horizontal="left" vertical="center" wrapText="1"/>
    </xf>
    <xf numFmtId="49" fontId="13" fillId="0" borderId="15" xfId="6" applyNumberFormat="1" applyFont="1" applyFill="1" applyBorder="1" applyAlignment="1">
      <alignment horizontal="left" vertical="center" wrapText="1"/>
    </xf>
    <xf numFmtId="49" fontId="9" fillId="0" borderId="16" xfId="0" applyNumberFormat="1" applyFont="1" applyFill="1" applyBorder="1" applyAlignment="1">
      <alignment horizontal="left" vertical="center" wrapText="1"/>
    </xf>
    <xf numFmtId="3" fontId="8" fillId="0" borderId="15" xfId="1" applyNumberFormat="1" applyFont="1" applyFill="1" applyBorder="1" applyAlignment="1">
      <alignment vertical="center"/>
    </xf>
    <xf numFmtId="49" fontId="6" fillId="5" borderId="15" xfId="6" applyNumberFormat="1" applyFont="1" applyFill="1" applyBorder="1" applyAlignment="1">
      <alignment horizontal="left" vertical="center"/>
    </xf>
    <xf numFmtId="49" fontId="4" fillId="2" borderId="15" xfId="6" applyNumberFormat="1" applyFont="1" applyFill="1" applyBorder="1" applyAlignment="1">
      <alignment horizontal="left" vertical="center"/>
    </xf>
    <xf numFmtId="3" fontId="4" fillId="2" borderId="15" xfId="1" applyNumberFormat="1" applyFont="1" applyFill="1" applyBorder="1" applyAlignment="1">
      <alignment horizontal="right" vertical="center"/>
    </xf>
    <xf numFmtId="0" fontId="9" fillId="2" borderId="16" xfId="6" applyNumberFormat="1" applyFont="1" applyFill="1" applyBorder="1" applyAlignment="1">
      <alignment horizontal="left" vertical="center" wrapText="1"/>
    </xf>
    <xf numFmtId="0" fontId="8" fillId="2" borderId="16" xfId="6" applyNumberFormat="1" applyFont="1" applyFill="1" applyBorder="1" applyAlignment="1">
      <alignment horizontal="left" vertical="center" wrapText="1"/>
    </xf>
    <xf numFmtId="49" fontId="4" fillId="0" borderId="15" xfId="6" applyNumberFormat="1" applyFont="1" applyFill="1" applyBorder="1" applyAlignment="1">
      <alignment horizontal="left" vertical="center" wrapText="1"/>
    </xf>
    <xf numFmtId="3" fontId="4" fillId="0" borderId="15" xfId="1" applyNumberFormat="1" applyFont="1" applyFill="1" applyBorder="1" applyAlignment="1">
      <alignment horizontal="right" vertical="center"/>
    </xf>
    <xf numFmtId="0" fontId="9" fillId="0" borderId="16" xfId="6" applyNumberFormat="1" applyFont="1" applyFill="1" applyBorder="1" applyAlignment="1">
      <alignment vertical="center" wrapText="1"/>
    </xf>
    <xf numFmtId="49" fontId="8" fillId="0" borderId="15" xfId="6" applyNumberFormat="1" applyFont="1" applyFill="1" applyBorder="1" applyAlignment="1">
      <alignment horizontal="center" vertical="center"/>
    </xf>
    <xf numFmtId="49" fontId="8" fillId="2" borderId="14" xfId="6" applyNumberFormat="1" applyFont="1" applyFill="1" applyBorder="1" applyAlignment="1">
      <alignment horizontal="center" vertical="center"/>
    </xf>
    <xf numFmtId="3" fontId="8" fillId="0" borderId="15" xfId="1" applyNumberFormat="1" applyFont="1" applyFill="1" applyBorder="1" applyAlignment="1">
      <alignment horizontal="right" vertical="center"/>
    </xf>
    <xf numFmtId="3" fontId="9" fillId="0" borderId="15" xfId="1" applyNumberFormat="1" applyFont="1" applyFill="1" applyBorder="1" applyAlignment="1">
      <alignment horizontal="right" vertical="center"/>
    </xf>
    <xf numFmtId="0" fontId="9" fillId="0" borderId="16" xfId="6" applyNumberFormat="1" applyFont="1" applyFill="1" applyBorder="1" applyAlignment="1">
      <alignment horizontal="left" vertical="center" wrapText="1"/>
    </xf>
    <xf numFmtId="49" fontId="4" fillId="0" borderId="0" xfId="6" applyNumberFormat="1" applyFont="1" applyFill="1" applyAlignment="1">
      <alignment horizontal="left" vertical="center" wrapText="1"/>
    </xf>
    <xf numFmtId="0" fontId="8" fillId="0" borderId="16" xfId="6" applyNumberFormat="1" applyFont="1" applyFill="1" applyBorder="1" applyAlignment="1">
      <alignment horizontal="left" vertical="center" wrapText="1"/>
    </xf>
    <xf numFmtId="49" fontId="3" fillId="3" borderId="15" xfId="6" applyNumberFormat="1" applyFont="1" applyFill="1" applyBorder="1" applyAlignment="1">
      <alignment vertical="center" wrapText="1"/>
    </xf>
    <xf numFmtId="3" fontId="3" fillId="5" borderId="15" xfId="1" applyNumberFormat="1" applyFont="1" applyFill="1" applyBorder="1" applyAlignment="1">
      <alignment horizontal="right" vertical="center"/>
    </xf>
    <xf numFmtId="49" fontId="9" fillId="5" borderId="16" xfId="0" applyNumberFormat="1" applyFont="1" applyFill="1" applyBorder="1" applyAlignment="1">
      <alignment horizontal="center" vertical="center" wrapText="1"/>
    </xf>
    <xf numFmtId="49" fontId="4" fillId="2" borderId="15" xfId="6" applyNumberFormat="1" applyFont="1" applyFill="1" applyBorder="1" applyAlignment="1">
      <alignment vertical="center"/>
    </xf>
    <xf numFmtId="3" fontId="4" fillId="2" borderId="15" xfId="1" applyNumberFormat="1" applyFont="1" applyFill="1" applyBorder="1" applyAlignment="1">
      <alignment vertical="center"/>
    </xf>
    <xf numFmtId="49" fontId="9" fillId="2" borderId="16" xfId="0" applyNumberFormat="1" applyFont="1" applyFill="1" applyBorder="1" applyAlignment="1">
      <alignment vertical="center" wrapText="1"/>
    </xf>
    <xf numFmtId="49" fontId="4" fillId="2" borderId="17" xfId="6" applyNumberFormat="1" applyFont="1" applyFill="1" applyBorder="1" applyAlignment="1">
      <alignment horizontal="center" vertical="center"/>
    </xf>
    <xf numFmtId="49" fontId="4" fillId="2" borderId="18" xfId="6" applyNumberFormat="1" applyFont="1" applyFill="1" applyBorder="1" applyAlignment="1">
      <alignment vertical="center"/>
    </xf>
    <xf numFmtId="49" fontId="4" fillId="2" borderId="18" xfId="6" applyNumberFormat="1" applyFont="1" applyFill="1" applyBorder="1" applyAlignment="1">
      <alignment horizontal="center" vertical="center"/>
    </xf>
    <xf numFmtId="3" fontId="4" fillId="2" borderId="18" xfId="1" applyNumberFormat="1" applyFont="1" applyFill="1" applyBorder="1" applyAlignment="1">
      <alignment vertical="center"/>
    </xf>
    <xf numFmtId="49" fontId="8" fillId="2" borderId="19" xfId="0" applyNumberFormat="1" applyFont="1" applyFill="1" applyBorder="1" applyAlignment="1">
      <alignment vertical="center" wrapText="1"/>
    </xf>
    <xf numFmtId="49" fontId="9" fillId="2" borderId="19" xfId="0" applyNumberFormat="1" applyFont="1" applyFill="1" applyBorder="1" applyAlignment="1">
      <alignment vertical="center" wrapText="1"/>
    </xf>
    <xf numFmtId="49" fontId="4" fillId="2" borderId="20" xfId="6" applyNumberFormat="1" applyFont="1" applyFill="1" applyBorder="1" applyAlignment="1">
      <alignment horizontal="center" vertical="center"/>
    </xf>
    <xf numFmtId="49" fontId="4" fillId="2" borderId="21" xfId="6" applyNumberFormat="1" applyFont="1" applyFill="1" applyBorder="1" applyAlignment="1">
      <alignment vertical="center"/>
    </xf>
    <xf numFmtId="49" fontId="4" fillId="2" borderId="21" xfId="6" applyNumberFormat="1" applyFont="1" applyFill="1" applyBorder="1" applyAlignment="1">
      <alignment horizontal="center" vertical="center"/>
    </xf>
    <xf numFmtId="3" fontId="4" fillId="2" borderId="21" xfId="1" applyNumberFormat="1" applyFont="1" applyFill="1" applyBorder="1" applyAlignment="1">
      <alignment vertical="center"/>
    </xf>
    <xf numFmtId="3" fontId="4" fillId="0" borderId="21" xfId="1" applyNumberFormat="1" applyFont="1" applyFill="1" applyBorder="1" applyAlignment="1">
      <alignment vertical="center"/>
    </xf>
    <xf numFmtId="49" fontId="9" fillId="2" borderId="22" xfId="0" applyNumberFormat="1" applyFont="1" applyFill="1" applyBorder="1" applyAlignment="1">
      <alignment vertical="center" wrapText="1"/>
    </xf>
    <xf numFmtId="0" fontId="6" fillId="3" borderId="17" xfId="6" applyNumberFormat="1" applyFont="1" applyFill="1" applyBorder="1" applyAlignment="1">
      <alignment horizontal="center" vertical="center"/>
    </xf>
    <xf numFmtId="49" fontId="3" fillId="3" borderId="18" xfId="6" applyNumberFormat="1" applyFont="1" applyFill="1" applyBorder="1" applyAlignment="1">
      <alignment vertical="center" wrapText="1"/>
    </xf>
    <xf numFmtId="49" fontId="6" fillId="5" borderId="18" xfId="6" applyNumberFormat="1" applyFont="1" applyFill="1" applyBorder="1" applyAlignment="1">
      <alignment horizontal="left" vertical="center"/>
    </xf>
    <xf numFmtId="3" fontId="3" fillId="5" borderId="18" xfId="1" applyNumberFormat="1" applyFont="1" applyFill="1" applyBorder="1" applyAlignment="1">
      <alignment horizontal="right" vertical="center"/>
    </xf>
    <xf numFmtId="49" fontId="9" fillId="5" borderId="19" xfId="0" applyNumberFormat="1" applyFont="1" applyFill="1" applyBorder="1" applyAlignment="1">
      <alignment horizontal="center" vertical="center" wrapText="1"/>
    </xf>
    <xf numFmtId="3" fontId="9" fillId="2" borderId="18" xfId="1" applyNumberFormat="1" applyFont="1" applyFill="1" applyBorder="1" applyAlignment="1">
      <alignment vertical="center"/>
    </xf>
    <xf numFmtId="3" fontId="4" fillId="0" borderId="18" xfId="1" applyNumberFormat="1" applyFont="1" applyFill="1" applyBorder="1" applyAlignment="1">
      <alignment vertical="center"/>
    </xf>
    <xf numFmtId="49" fontId="4" fillId="2" borderId="4" xfId="6" applyNumberFormat="1" applyFont="1" applyFill="1" applyBorder="1" applyAlignment="1">
      <alignment horizontal="center" vertical="center"/>
    </xf>
    <xf numFmtId="49" fontId="9" fillId="2" borderId="4" xfId="6" applyNumberFormat="1" applyFont="1" applyFill="1" applyBorder="1" applyAlignment="1">
      <alignment vertical="center"/>
    </xf>
    <xf numFmtId="3" fontId="4" fillId="2" borderId="4" xfId="1" applyNumberFormat="1" applyFont="1" applyFill="1" applyBorder="1" applyAlignment="1">
      <alignment vertical="center"/>
    </xf>
    <xf numFmtId="3" fontId="4" fillId="0" borderId="4" xfId="1" applyNumberFormat="1" applyFont="1" applyFill="1" applyBorder="1" applyAlignment="1">
      <alignment vertical="center"/>
    </xf>
    <xf numFmtId="49" fontId="8" fillId="2" borderId="4" xfId="0" applyNumberFormat="1" applyFont="1" applyFill="1" applyBorder="1" applyAlignment="1">
      <alignment vertical="center" wrapText="1"/>
    </xf>
    <xf numFmtId="0" fontId="0" fillId="0" borderId="4" xfId="0" applyBorder="1" applyAlignment="1">
      <alignment horizontal="center"/>
    </xf>
    <xf numFmtId="0" fontId="4" fillId="0" borderId="11" xfId="6" applyNumberFormat="1" applyFont="1" applyFill="1" applyBorder="1" applyAlignment="1">
      <alignment horizontal="center" vertical="center"/>
    </xf>
    <xf numFmtId="0" fontId="15" fillId="0" borderId="12" xfId="6" applyNumberFormat="1" applyFont="1" applyFill="1" applyBorder="1" applyAlignment="1">
      <alignment vertical="center"/>
    </xf>
    <xf numFmtId="164" fontId="3" fillId="0" borderId="13" xfId="1" applyNumberFormat="1" applyFont="1" applyFill="1" applyBorder="1" applyAlignment="1">
      <alignment horizontal="right" vertical="center"/>
    </xf>
    <xf numFmtId="0" fontId="4" fillId="0" borderId="14" xfId="6" applyNumberFormat="1" applyFont="1" applyFill="1" applyBorder="1" applyAlignment="1">
      <alignment horizontal="center" vertical="center"/>
    </xf>
    <xf numFmtId="0" fontId="15" fillId="0" borderId="15" xfId="6" applyNumberFormat="1" applyFont="1" applyFill="1" applyBorder="1" applyAlignment="1">
      <alignment vertical="center"/>
    </xf>
    <xf numFmtId="49" fontId="3" fillId="0" borderId="15" xfId="6" applyNumberFormat="1" applyFont="1" applyFill="1" applyBorder="1" applyAlignment="1">
      <alignment horizontal="left" vertical="center"/>
    </xf>
    <xf numFmtId="164" fontId="4" fillId="0" borderId="16" xfId="1" applyNumberFormat="1" applyFont="1" applyFill="1" applyBorder="1" applyAlignment="1">
      <alignment horizontal="right" vertical="center"/>
    </xf>
    <xf numFmtId="164" fontId="3" fillId="0" borderId="16" xfId="1" applyNumberFormat="1" applyFont="1" applyFill="1" applyBorder="1" applyAlignment="1">
      <alignment horizontal="right" vertical="center"/>
    </xf>
    <xf numFmtId="0" fontId="16" fillId="0" borderId="0" xfId="3" applyNumberFormat="1" applyFont="1" applyFill="1" applyBorder="1" applyAlignment="1">
      <alignment horizontal="left" vertical="center"/>
    </xf>
    <xf numFmtId="0" fontId="4" fillId="0" borderId="20" xfId="6" applyNumberFormat="1" applyFont="1" applyFill="1" applyBorder="1" applyAlignment="1">
      <alignment horizontal="center" vertical="center"/>
    </xf>
    <xf numFmtId="0" fontId="6" fillId="0" borderId="21" xfId="6" applyNumberFormat="1" applyFont="1" applyFill="1" applyBorder="1" applyAlignment="1">
      <alignment vertical="center"/>
    </xf>
    <xf numFmtId="49" fontId="3" fillId="0" borderId="21" xfId="6" applyNumberFormat="1" applyFont="1" applyFill="1" applyBorder="1" applyAlignment="1">
      <alignment horizontal="left" vertical="center"/>
    </xf>
    <xf numFmtId="49" fontId="4" fillId="2" borderId="4" xfId="6" applyNumberFormat="1" applyFont="1" applyFill="1" applyBorder="1" applyAlignment="1">
      <alignment vertical="center"/>
    </xf>
    <xf numFmtId="49" fontId="23" fillId="2" borderId="16" xfId="0" applyNumberFormat="1" applyFont="1" applyFill="1" applyBorder="1" applyAlignment="1">
      <alignment vertical="center" wrapText="1"/>
    </xf>
    <xf numFmtId="49" fontId="24" fillId="2" borderId="14" xfId="6" applyNumberFormat="1" applyFont="1" applyFill="1" applyBorder="1" applyAlignment="1">
      <alignment horizontal="center" vertical="center"/>
    </xf>
    <xf numFmtId="49" fontId="25" fillId="2" borderId="18" xfId="6" applyNumberFormat="1" applyFont="1" applyFill="1" applyBorder="1" applyAlignment="1">
      <alignment vertical="center"/>
    </xf>
    <xf numFmtId="49" fontId="25" fillId="2" borderId="15" xfId="6" applyNumberFormat="1" applyFont="1" applyFill="1" applyBorder="1" applyAlignment="1">
      <alignment horizontal="center" vertical="center"/>
    </xf>
    <xf numFmtId="49" fontId="25" fillId="2" borderId="15" xfId="6" applyNumberFormat="1" applyFont="1" applyFill="1" applyBorder="1" applyAlignment="1">
      <alignment vertical="center"/>
    </xf>
    <xf numFmtId="49" fontId="25" fillId="2" borderId="18" xfId="6" applyNumberFormat="1" applyFont="1" applyFill="1" applyBorder="1" applyAlignment="1">
      <alignment horizontal="center" vertical="center"/>
    </xf>
    <xf numFmtId="49" fontId="24" fillId="2" borderId="19" xfId="0" applyNumberFormat="1" applyFont="1" applyFill="1" applyBorder="1" applyAlignment="1">
      <alignment vertical="center" wrapText="1"/>
    </xf>
    <xf numFmtId="49" fontId="24" fillId="2" borderId="18" xfId="6" applyNumberFormat="1" applyFont="1" applyFill="1" applyBorder="1" applyAlignment="1">
      <alignment vertical="center"/>
    </xf>
    <xf numFmtId="49" fontId="26" fillId="0" borderId="15" xfId="6" applyNumberFormat="1" applyFont="1" applyFill="1" applyBorder="1" applyAlignment="1">
      <alignment horizontal="left" vertical="center" wrapText="1"/>
    </xf>
    <xf numFmtId="49" fontId="24" fillId="0" borderId="15" xfId="6" applyNumberFormat="1" applyFont="1" applyFill="1" applyBorder="1" applyAlignment="1">
      <alignment horizontal="center" vertical="center"/>
    </xf>
    <xf numFmtId="3" fontId="24" fillId="0" borderId="15" xfId="0" applyNumberFormat="1" applyFont="1" applyBorder="1" applyAlignment="1">
      <alignment horizontal="right" vertical="center"/>
    </xf>
    <xf numFmtId="3" fontId="24" fillId="0" borderId="15" xfId="1" applyNumberFormat="1" applyFont="1" applyFill="1" applyBorder="1" applyAlignment="1">
      <alignment vertical="center"/>
    </xf>
    <xf numFmtId="49" fontId="24" fillId="0" borderId="16" xfId="0" applyNumberFormat="1" applyFont="1" applyFill="1" applyBorder="1" applyAlignment="1">
      <alignment horizontal="left" vertical="center" wrapText="1"/>
    </xf>
    <xf numFmtId="0" fontId="28" fillId="0" borderId="0" xfId="0" applyFont="1"/>
    <xf numFmtId="49" fontId="25" fillId="2" borderId="4" xfId="6" applyNumberFormat="1" applyFont="1" applyFill="1" applyBorder="1" applyAlignment="1">
      <alignment horizontal="center" vertical="center"/>
    </xf>
    <xf numFmtId="49" fontId="24" fillId="2" borderId="4" xfId="6" applyNumberFormat="1" applyFont="1" applyFill="1" applyBorder="1" applyAlignment="1">
      <alignment vertical="center"/>
    </xf>
    <xf numFmtId="49" fontId="25" fillId="2" borderId="4" xfId="6" applyNumberFormat="1" applyFont="1" applyFill="1" applyBorder="1" applyAlignment="1">
      <alignment vertical="center"/>
    </xf>
    <xf numFmtId="49" fontId="25" fillId="0" borderId="15" xfId="6" applyNumberFormat="1" applyFont="1" applyFill="1" applyBorder="1" applyAlignment="1">
      <alignment horizontal="center" vertical="center"/>
    </xf>
    <xf numFmtId="49" fontId="25" fillId="0" borderId="0" xfId="6" applyNumberFormat="1" applyFont="1" applyFill="1" applyAlignment="1">
      <alignment horizontal="left" vertical="center" wrapText="1"/>
    </xf>
    <xf numFmtId="164" fontId="0" fillId="0" borderId="4" xfId="1" applyNumberFormat="1" applyFont="1" applyBorder="1"/>
    <xf numFmtId="0" fontId="25" fillId="0" borderId="4" xfId="0" applyFont="1" applyBorder="1"/>
    <xf numFmtId="49" fontId="23" fillId="2" borderId="4" xfId="0" applyNumberFormat="1" applyFont="1" applyFill="1" applyBorder="1" applyAlignment="1">
      <alignment vertical="center" wrapText="1"/>
    </xf>
    <xf numFmtId="49" fontId="4" fillId="2" borderId="4" xfId="6" applyNumberFormat="1" applyFont="1" applyFill="1" applyBorder="1" applyAlignment="1">
      <alignment horizontal="left" vertical="center"/>
    </xf>
    <xf numFmtId="49" fontId="4" fillId="0" borderId="15" xfId="6" applyNumberFormat="1" applyFont="1" applyFill="1" applyBorder="1" applyAlignment="1">
      <alignment horizontal="left" vertical="center"/>
    </xf>
    <xf numFmtId="49" fontId="25" fillId="2" borderId="4" xfId="6" applyNumberFormat="1" applyFont="1" applyFill="1" applyBorder="1" applyAlignment="1">
      <alignment horizontal="left" vertical="center"/>
    </xf>
    <xf numFmtId="3" fontId="24" fillId="0" borderId="15" xfId="1" applyNumberFormat="1" applyFont="1" applyFill="1" applyBorder="1" applyAlignment="1">
      <alignment horizontal="right" vertical="center"/>
    </xf>
    <xf numFmtId="49" fontId="29" fillId="3" borderId="15" xfId="6" applyNumberFormat="1" applyFont="1" applyFill="1" applyBorder="1" applyAlignment="1">
      <alignment vertical="center" wrapText="1"/>
    </xf>
    <xf numFmtId="0" fontId="30" fillId="0" borderId="0" xfId="0" applyFont="1"/>
    <xf numFmtId="49" fontId="25" fillId="0" borderId="15" xfId="6" applyNumberFormat="1" applyFont="1" applyFill="1" applyBorder="1" applyAlignment="1">
      <alignment horizontal="left" vertical="center"/>
    </xf>
    <xf numFmtId="0" fontId="24" fillId="0" borderId="16" xfId="6" applyNumberFormat="1" applyFont="1" applyFill="1" applyBorder="1" applyAlignment="1">
      <alignment vertical="center" wrapText="1"/>
    </xf>
    <xf numFmtId="49" fontId="24" fillId="2" borderId="15" xfId="6" applyNumberFormat="1" applyFont="1" applyFill="1" applyBorder="1" applyAlignment="1">
      <alignment vertical="center"/>
    </xf>
    <xf numFmtId="49" fontId="24" fillId="2" borderId="15" xfId="6" applyNumberFormat="1" applyFont="1" applyFill="1" applyBorder="1" applyAlignment="1">
      <alignment horizontal="center" vertical="center"/>
    </xf>
    <xf numFmtId="3" fontId="24" fillId="2" borderId="15" xfId="1" applyNumberFormat="1" applyFont="1" applyFill="1" applyBorder="1" applyAlignment="1">
      <alignment vertical="center"/>
    </xf>
    <xf numFmtId="49" fontId="31" fillId="0" borderId="15" xfId="6" applyNumberFormat="1" applyFont="1" applyFill="1" applyBorder="1" applyAlignment="1">
      <alignment horizontal="left" vertical="center" wrapText="1"/>
    </xf>
    <xf numFmtId="49" fontId="23" fillId="0" borderId="15" xfId="6" applyNumberFormat="1" applyFont="1" applyFill="1" applyBorder="1" applyAlignment="1">
      <alignment horizontal="center" vertical="center"/>
    </xf>
    <xf numFmtId="49" fontId="3" fillId="0" borderId="15" xfId="6" applyNumberFormat="1" applyFont="1" applyFill="1" applyBorder="1" applyAlignment="1">
      <alignment horizontal="left" vertical="center"/>
    </xf>
    <xf numFmtId="0" fontId="33" fillId="0" borderId="15" xfId="6" applyNumberFormat="1" applyFont="1" applyFill="1" applyBorder="1" applyAlignment="1">
      <alignment vertical="center"/>
    </xf>
    <xf numFmtId="0" fontId="34" fillId="0" borderId="15" xfId="6" applyNumberFormat="1" applyFont="1" applyFill="1" applyBorder="1" applyAlignment="1">
      <alignment vertical="center"/>
    </xf>
    <xf numFmtId="49" fontId="24" fillId="0" borderId="15" xfId="6" applyNumberFormat="1" applyFont="1" applyFill="1" applyBorder="1" applyAlignment="1">
      <alignment horizontal="left" vertical="center" wrapText="1"/>
    </xf>
    <xf numFmtId="164" fontId="29" fillId="0" borderId="16" xfId="1" applyNumberFormat="1" applyFont="1" applyFill="1" applyBorder="1" applyAlignment="1">
      <alignment horizontal="right" vertical="center"/>
    </xf>
    <xf numFmtId="49" fontId="24" fillId="4" borderId="15" xfId="6" applyNumberFormat="1" applyFont="1" applyFill="1" applyBorder="1" applyAlignment="1">
      <alignment vertical="center"/>
    </xf>
    <xf numFmtId="0" fontId="4" fillId="0" borderId="0" xfId="6" applyNumberFormat="1" applyFont="1" applyFill="1" applyBorder="1" applyAlignment="1">
      <alignment horizontal="center" vertical="center"/>
    </xf>
    <xf numFmtId="49" fontId="3" fillId="0" borderId="0" xfId="6" applyNumberFormat="1" applyFont="1" applyFill="1" applyBorder="1" applyAlignment="1">
      <alignment horizontal="left" vertical="center"/>
    </xf>
    <xf numFmtId="0" fontId="34" fillId="0" borderId="0" xfId="6" applyNumberFormat="1" applyFont="1" applyFill="1" applyBorder="1" applyAlignment="1">
      <alignment vertical="center"/>
    </xf>
    <xf numFmtId="164" fontId="3" fillId="0" borderId="22" xfId="1" applyNumberFormat="1" applyFont="1" applyFill="1" applyBorder="1" applyAlignment="1">
      <alignment horizontal="right" vertical="center"/>
    </xf>
    <xf numFmtId="164" fontId="7" fillId="0" borderId="0" xfId="1" applyNumberFormat="1" applyFont="1" applyFill="1" applyBorder="1" applyAlignment="1">
      <alignment horizontal="right" vertical="center"/>
    </xf>
    <xf numFmtId="164" fontId="16" fillId="0" borderId="0" xfId="3" applyNumberFormat="1" applyFont="1" applyFill="1" applyBorder="1" applyAlignment="1">
      <alignment horizontal="left" vertical="center"/>
    </xf>
    <xf numFmtId="0" fontId="32" fillId="2" borderId="1" xfId="7" applyNumberFormat="1" applyFont="1" applyFill="1" applyBorder="1" applyAlignment="1">
      <alignment horizontal="center" vertical="center" wrapText="1"/>
    </xf>
    <xf numFmtId="0" fontId="2" fillId="2" borderId="2" xfId="7" applyNumberFormat="1" applyFont="1" applyFill="1" applyBorder="1" applyAlignment="1">
      <alignment horizontal="center" vertical="center" wrapText="1"/>
    </xf>
    <xf numFmtId="0" fontId="2" fillId="2" borderId="3" xfId="7" applyNumberFormat="1" applyFont="1" applyFill="1" applyBorder="1" applyAlignment="1">
      <alignment horizontal="center" vertical="center" wrapText="1"/>
    </xf>
    <xf numFmtId="0" fontId="3" fillId="3" borderId="1" xfId="7" applyNumberFormat="1" applyFont="1" applyFill="1" applyBorder="1" applyAlignment="1">
      <alignment horizontal="left" vertical="center" wrapText="1"/>
    </xf>
    <xf numFmtId="0" fontId="3" fillId="3" borderId="3" xfId="7" applyNumberFormat="1" applyFont="1" applyFill="1" applyBorder="1" applyAlignment="1">
      <alignment horizontal="left" vertical="center" wrapText="1"/>
    </xf>
    <xf numFmtId="0" fontId="3" fillId="3" borderId="4" xfId="7" applyNumberFormat="1" applyFont="1" applyFill="1" applyBorder="1" applyAlignment="1">
      <alignment horizontal="left" vertical="center" wrapText="1"/>
    </xf>
    <xf numFmtId="0" fontId="4" fillId="0" borderId="1" xfId="7" applyNumberFormat="1" applyFont="1" applyBorder="1" applyAlignment="1">
      <alignment horizontal="center" vertical="center" wrapText="1"/>
    </xf>
    <xf numFmtId="0" fontId="4" fillId="0" borderId="3" xfId="7" applyNumberFormat="1" applyFont="1" applyBorder="1" applyAlignment="1">
      <alignment horizontal="center" vertical="center" wrapText="1"/>
    </xf>
    <xf numFmtId="0" fontId="5" fillId="0" borderId="1" xfId="2" applyNumberFormat="1" applyFont="1" applyBorder="1" applyAlignment="1">
      <alignment horizontal="center" vertical="center" wrapText="1"/>
    </xf>
    <xf numFmtId="0" fontId="3" fillId="3" borderId="1" xfId="3" applyNumberFormat="1" applyFont="1" applyFill="1" applyBorder="1" applyAlignment="1">
      <alignment horizontal="left" vertical="center" wrapText="1"/>
    </xf>
    <xf numFmtId="0" fontId="3" fillId="3" borderId="3" xfId="3" applyNumberFormat="1" applyFont="1" applyFill="1" applyBorder="1" applyAlignment="1">
      <alignment horizontal="left" vertical="center" wrapText="1"/>
    </xf>
    <xf numFmtId="49" fontId="4" fillId="0" borderId="1" xfId="7" applyNumberFormat="1" applyFont="1" applyBorder="1" applyAlignment="1">
      <alignment horizontal="center" vertical="center" wrapText="1"/>
    </xf>
    <xf numFmtId="49" fontId="4" fillId="0" borderId="3" xfId="7" applyNumberFormat="1" applyFont="1" applyBorder="1" applyAlignment="1">
      <alignment horizontal="center" vertical="center" wrapText="1"/>
    </xf>
    <xf numFmtId="0" fontId="3" fillId="3" borderId="5" xfId="7" applyNumberFormat="1" applyFont="1" applyFill="1" applyBorder="1" applyAlignment="1">
      <alignment horizontal="left" vertical="center" wrapText="1"/>
    </xf>
    <xf numFmtId="0" fontId="3" fillId="3" borderId="6" xfId="7" applyNumberFormat="1" applyFont="1" applyFill="1" applyBorder="1" applyAlignment="1">
      <alignment horizontal="left" vertical="center" wrapText="1"/>
    </xf>
    <xf numFmtId="0" fontId="3" fillId="3" borderId="7" xfId="7" applyNumberFormat="1" applyFont="1" applyFill="1" applyBorder="1" applyAlignment="1">
      <alignment horizontal="left" vertical="center" wrapText="1"/>
    </xf>
    <xf numFmtId="0" fontId="3" fillId="3" borderId="8" xfId="7" applyNumberFormat="1" applyFont="1" applyFill="1" applyBorder="1" applyAlignment="1">
      <alignment horizontal="left" vertical="center" wrapText="1"/>
    </xf>
    <xf numFmtId="0" fontId="3" fillId="3" borderId="9" xfId="7" applyNumberFormat="1" applyFont="1" applyFill="1" applyBorder="1" applyAlignment="1">
      <alignment horizontal="left" vertical="center" wrapText="1"/>
    </xf>
    <xf numFmtId="0" fontId="3" fillId="3" borderId="10" xfId="7" applyNumberFormat="1" applyFont="1" applyFill="1" applyBorder="1" applyAlignment="1">
      <alignment horizontal="left" vertical="center" wrapText="1"/>
    </xf>
    <xf numFmtId="0" fontId="3" fillId="3" borderId="1" xfId="3" applyNumberFormat="1" applyFont="1" applyFill="1" applyBorder="1" applyAlignment="1">
      <alignment horizontal="left" vertical="center"/>
    </xf>
    <xf numFmtId="0" fontId="3" fillId="3" borderId="3" xfId="3" applyNumberFormat="1" applyFont="1" applyFill="1" applyBorder="1" applyAlignment="1">
      <alignment horizontal="left" vertical="center"/>
    </xf>
    <xf numFmtId="0" fontId="3" fillId="3" borderId="4" xfId="3" applyNumberFormat="1" applyFont="1" applyFill="1" applyBorder="1" applyAlignment="1">
      <alignment horizontal="left" vertical="center" wrapText="1"/>
    </xf>
    <xf numFmtId="49" fontId="4" fillId="4" borderId="1" xfId="3" applyNumberFormat="1" applyFont="1" applyFill="1" applyBorder="1" applyAlignment="1">
      <alignment horizontal="center" vertical="center" wrapText="1"/>
    </xf>
    <xf numFmtId="49" fontId="4" fillId="4" borderId="3" xfId="3" applyNumberFormat="1" applyFont="1" applyFill="1" applyBorder="1" applyAlignment="1">
      <alignment horizontal="center" vertical="center" wrapText="1"/>
    </xf>
    <xf numFmtId="0" fontId="4" fillId="0" borderId="1" xfId="6" applyNumberFormat="1" applyFont="1" applyFill="1" applyBorder="1" applyAlignment="1">
      <alignment horizontal="center" vertical="center" wrapText="1"/>
    </xf>
    <xf numFmtId="0" fontId="4" fillId="0" borderId="2" xfId="6" applyNumberFormat="1" applyFont="1" applyFill="1" applyBorder="1" applyAlignment="1">
      <alignment horizontal="center" vertical="center" wrapText="1"/>
    </xf>
    <xf numFmtId="0" fontId="4" fillId="0" borderId="3" xfId="6" applyNumberFormat="1" applyFont="1" applyFill="1" applyBorder="1" applyAlignment="1">
      <alignment horizontal="center" vertical="center" wrapText="1"/>
    </xf>
    <xf numFmtId="49" fontId="6" fillId="5" borderId="15" xfId="6" applyNumberFormat="1" applyFont="1" applyFill="1" applyBorder="1" applyAlignment="1">
      <alignment horizontal="center" vertical="center"/>
    </xf>
    <xf numFmtId="49" fontId="6" fillId="0" borderId="12" xfId="6" applyNumberFormat="1" applyFont="1" applyFill="1" applyBorder="1" applyAlignment="1">
      <alignment horizontal="center" vertical="center" wrapText="1"/>
    </xf>
    <xf numFmtId="49" fontId="6" fillId="0" borderId="15" xfId="6" applyNumberFormat="1" applyFont="1" applyFill="1" applyBorder="1" applyAlignment="1">
      <alignment horizontal="center" vertical="center"/>
    </xf>
    <xf numFmtId="49" fontId="6" fillId="0" borderId="13" xfId="6" applyNumberFormat="1" applyFont="1" applyFill="1" applyBorder="1" applyAlignment="1">
      <alignment horizontal="center" vertical="center" wrapText="1"/>
    </xf>
    <xf numFmtId="49" fontId="6" fillId="0" borderId="16" xfId="6" applyNumberFormat="1" applyFont="1" applyFill="1" applyBorder="1" applyAlignment="1">
      <alignment horizontal="center" vertical="center" wrapText="1"/>
    </xf>
    <xf numFmtId="49" fontId="6" fillId="0" borderId="11" xfId="0" applyNumberFormat="1" applyFont="1" applyBorder="1" applyAlignment="1">
      <alignment horizontal="center" vertical="center"/>
    </xf>
    <xf numFmtId="49" fontId="6" fillId="0" borderId="14" xfId="0" applyNumberFormat="1" applyFont="1" applyBorder="1" applyAlignment="1">
      <alignment horizontal="center" vertical="center"/>
    </xf>
    <xf numFmtId="49" fontId="6" fillId="0" borderId="15" xfId="6" applyNumberFormat="1" applyFont="1" applyFill="1" applyBorder="1" applyAlignment="1">
      <alignment horizontal="center" vertical="center" wrapText="1"/>
    </xf>
    <xf numFmtId="49" fontId="6" fillId="0" borderId="12" xfId="6" applyNumberFormat="1" applyFont="1" applyFill="1" applyBorder="1" applyAlignment="1">
      <alignment horizontal="center" vertical="center"/>
    </xf>
    <xf numFmtId="49" fontId="6" fillId="5" borderId="15" xfId="6" applyNumberFormat="1" applyFont="1" applyFill="1" applyBorder="1" applyAlignment="1">
      <alignment horizontal="left" vertical="center"/>
    </xf>
    <xf numFmtId="164" fontId="14" fillId="6" borderId="1" xfId="6" applyNumberFormat="1" applyFont="1" applyFill="1" applyBorder="1" applyAlignment="1">
      <alignment horizontal="center" vertical="center"/>
    </xf>
    <xf numFmtId="164" fontId="14" fillId="6" borderId="2" xfId="6" applyNumberFormat="1" applyFont="1" applyFill="1" applyBorder="1" applyAlignment="1">
      <alignment horizontal="center" vertical="center"/>
    </xf>
    <xf numFmtId="164" fontId="14" fillId="6" borderId="3" xfId="6" applyNumberFormat="1" applyFont="1" applyFill="1" applyBorder="1" applyAlignment="1">
      <alignment horizontal="center" vertical="center"/>
    </xf>
    <xf numFmtId="49" fontId="3" fillId="0" borderId="12" xfId="6" applyNumberFormat="1" applyFont="1" applyFill="1" applyBorder="1" applyAlignment="1">
      <alignment horizontal="left" vertical="center"/>
    </xf>
    <xf numFmtId="49" fontId="3" fillId="0" borderId="15" xfId="6" applyNumberFormat="1" applyFont="1" applyFill="1" applyBorder="1" applyAlignment="1">
      <alignment horizontal="left" vertical="center"/>
    </xf>
    <xf numFmtId="0" fontId="10" fillId="0" borderId="7" xfId="3" applyNumberFormat="1" applyFont="1" applyFill="1" applyBorder="1" applyAlignment="1">
      <alignment horizontal="left" vertical="center" wrapText="1"/>
    </xf>
    <xf numFmtId="0" fontId="10" fillId="0" borderId="23" xfId="3" applyNumberFormat="1" applyFont="1" applyFill="1" applyBorder="1" applyAlignment="1">
      <alignment horizontal="left" vertical="center" wrapText="1"/>
    </xf>
    <xf numFmtId="0" fontId="16" fillId="0" borderId="23" xfId="3" applyNumberFormat="1" applyFont="1" applyFill="1" applyBorder="1" applyAlignment="1">
      <alignment horizontal="left" vertical="center"/>
    </xf>
    <xf numFmtId="0" fontId="27" fillId="0" borderId="0" xfId="0" applyFont="1" applyAlignment="1">
      <alignment wrapText="1"/>
    </xf>
    <xf numFmtId="0" fontId="27" fillId="0" borderId="0" xfId="0" applyFont="1"/>
    <xf numFmtId="0" fontId="27" fillId="0" borderId="0" xfId="0" applyFont="1" applyFill="1"/>
    <xf numFmtId="49" fontId="9" fillId="2" borderId="14" xfId="6" applyNumberFormat="1" applyFont="1" applyFill="1" applyBorder="1" applyAlignment="1">
      <alignment horizontal="center" vertical="center"/>
    </xf>
    <xf numFmtId="49" fontId="9" fillId="0" borderId="15" xfId="6" applyNumberFormat="1" applyFont="1" applyFill="1" applyBorder="1" applyAlignment="1">
      <alignment horizontal="center" vertical="center"/>
    </xf>
  </cellXfs>
  <cellStyles count="8">
    <cellStyle name="Comma" xfId="1" builtinId="3"/>
    <cellStyle name="Comma [0] 2" xfId="5"/>
    <cellStyle name="Comma 2" xfId="6"/>
    <cellStyle name="Hyperlink" xfId="2" builtinId="8"/>
    <cellStyle name="Normal" xfId="0" builtinId="0"/>
    <cellStyle name="Normal 2" xfId="4"/>
    <cellStyle name="Normal_Copy of Quotation 6-2-07 Mr.Dong" xfId="7"/>
    <cellStyle name="Normal_Quotation for Boehringer event-Mr.Khoi"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tif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666750</xdr:colOff>
      <xdr:row>0</xdr:row>
      <xdr:rowOff>81280</xdr:rowOff>
    </xdr:from>
    <xdr:to>
      <xdr:col>1</xdr:col>
      <xdr:colOff>846066</xdr:colOff>
      <xdr:row>4</xdr:row>
      <xdr:rowOff>127000</xdr:rowOff>
    </xdr:to>
    <xdr:pic>
      <xdr:nvPicPr>
        <xdr:cNvPr id="2" name="Picture 1"/>
        <xdr:cNvPicPr>
          <a:picLocks noChangeAspect="1"/>
        </xdr:cNvPicPr>
      </xdr:nvPicPr>
      <xdr:blipFill>
        <a:blip xmlns:r="http://schemas.openxmlformats.org/officeDocument/2006/relationships" r:embed="rId1"/>
        <a:stretch>
          <a:fillRect/>
        </a:stretch>
      </xdr:blipFill>
      <xdr:spPr>
        <a:xfrm>
          <a:off x="666750" y="81280"/>
          <a:ext cx="1121233" cy="850053"/>
        </a:xfrm>
        <a:prstGeom prst="rect">
          <a:avLst/>
        </a:prstGeom>
      </xdr:spPr>
    </xdr:pic>
    <xdr:clientData/>
  </xdr:twoCellAnchor>
  <xdr:twoCellAnchor editAs="oneCell">
    <xdr:from>
      <xdr:col>7</xdr:col>
      <xdr:colOff>695324</xdr:colOff>
      <xdr:row>0</xdr:row>
      <xdr:rowOff>9525</xdr:rowOff>
    </xdr:from>
    <xdr:to>
      <xdr:col>7</xdr:col>
      <xdr:colOff>1502833</xdr:colOff>
      <xdr:row>4</xdr:row>
      <xdr:rowOff>181068</xdr:rowOff>
    </xdr:to>
    <xdr:pic>
      <xdr:nvPicPr>
        <xdr:cNvPr id="3" name="Picture 2"/>
        <xdr:cNvPicPr>
          <a:picLocks noChangeAspect="1"/>
        </xdr:cNvPicPr>
      </xdr:nvPicPr>
      <xdr:blipFill>
        <a:blip xmlns:r="http://schemas.openxmlformats.org/officeDocument/2006/relationships" r:embed="rId2"/>
        <a:stretch>
          <a:fillRect/>
        </a:stretch>
      </xdr:blipFill>
      <xdr:spPr>
        <a:xfrm>
          <a:off x="10770657" y="9525"/>
          <a:ext cx="807509" cy="97587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7"/>
  <sheetViews>
    <sheetView tabSelected="1" zoomScale="90" zoomScaleNormal="90" workbookViewId="0">
      <selection activeCell="K15" sqref="K15"/>
    </sheetView>
  </sheetViews>
  <sheetFormatPr defaultColWidth="9" defaultRowHeight="15.75"/>
  <cols>
    <col min="1" max="1" width="12.375" customWidth="1"/>
    <col min="2" max="2" width="42.125" customWidth="1"/>
    <col min="5" max="5" width="18.75" customWidth="1"/>
    <col min="6" max="6" width="21.5" customWidth="1"/>
    <col min="7" max="7" width="19.375" customWidth="1"/>
    <col min="8" max="8" width="34.75" customWidth="1"/>
  </cols>
  <sheetData>
    <row r="1" spans="1:8">
      <c r="A1" s="1"/>
      <c r="B1" s="2"/>
      <c r="C1" s="2"/>
      <c r="D1" s="2"/>
      <c r="E1" s="2"/>
      <c r="F1" s="2"/>
      <c r="G1" s="3"/>
      <c r="H1" s="1"/>
    </row>
    <row r="2" spans="1:8">
      <c r="A2" s="1"/>
      <c r="B2" s="2"/>
      <c r="C2" s="2"/>
      <c r="D2" s="2"/>
      <c r="E2" s="2"/>
      <c r="F2" s="2"/>
      <c r="G2" s="3"/>
      <c r="H2" s="1"/>
    </row>
    <row r="3" spans="1:8">
      <c r="A3" s="1"/>
      <c r="B3" s="2"/>
      <c r="C3" s="2"/>
      <c r="D3" s="2"/>
      <c r="E3" s="2"/>
      <c r="F3" s="2"/>
      <c r="G3" s="3"/>
      <c r="H3" s="1"/>
    </row>
    <row r="4" spans="1:8">
      <c r="A4" s="1"/>
      <c r="B4" s="2"/>
      <c r="C4" s="2"/>
      <c r="D4" s="2"/>
      <c r="E4" s="2"/>
      <c r="F4" s="2"/>
      <c r="G4" s="3"/>
      <c r="H4" s="1"/>
    </row>
    <row r="5" spans="1:8" ht="22.5">
      <c r="A5" s="141" t="s">
        <v>174</v>
      </c>
      <c r="B5" s="142"/>
      <c r="C5" s="142"/>
      <c r="D5" s="142"/>
      <c r="E5" s="142"/>
      <c r="F5" s="142"/>
      <c r="G5" s="142"/>
      <c r="H5" s="143"/>
    </row>
    <row r="6" spans="1:8">
      <c r="A6" s="144" t="s">
        <v>3</v>
      </c>
      <c r="B6" s="145"/>
      <c r="C6" s="4"/>
      <c r="D6" s="146" t="s">
        <v>4</v>
      </c>
      <c r="E6" s="146"/>
      <c r="F6" s="146"/>
      <c r="G6" s="147"/>
      <c r="H6" s="148"/>
    </row>
    <row r="7" spans="1:8">
      <c r="A7" s="144" t="s">
        <v>5</v>
      </c>
      <c r="B7" s="145"/>
      <c r="C7" s="5"/>
      <c r="D7" s="154" t="s">
        <v>6</v>
      </c>
      <c r="E7" s="155"/>
      <c r="F7" s="156"/>
      <c r="G7" s="147"/>
      <c r="H7" s="148"/>
    </row>
    <row r="8" spans="1:8">
      <c r="A8" s="144" t="s">
        <v>7</v>
      </c>
      <c r="B8" s="145"/>
      <c r="C8" s="5"/>
      <c r="D8" s="157"/>
      <c r="E8" s="158"/>
      <c r="F8" s="159"/>
      <c r="G8" s="149"/>
      <c r="H8" s="148"/>
    </row>
    <row r="9" spans="1:8">
      <c r="A9" s="150" t="s">
        <v>185</v>
      </c>
      <c r="B9" s="151"/>
      <c r="C9" s="6"/>
      <c r="D9" s="146" t="s">
        <v>8</v>
      </c>
      <c r="E9" s="146"/>
      <c r="F9" s="146"/>
      <c r="G9" s="152"/>
      <c r="H9" s="153"/>
    </row>
    <row r="10" spans="1:8">
      <c r="A10" s="160" t="s">
        <v>9</v>
      </c>
      <c r="B10" s="161"/>
      <c r="C10" s="6"/>
      <c r="D10" s="162" t="s">
        <v>10</v>
      </c>
      <c r="E10" s="162"/>
      <c r="F10" s="162"/>
      <c r="G10" s="163" t="s">
        <v>11</v>
      </c>
      <c r="H10" s="164"/>
    </row>
    <row r="11" spans="1:8">
      <c r="A11" s="165" t="s">
        <v>12</v>
      </c>
      <c r="B11" s="166"/>
      <c r="C11" s="166"/>
      <c r="D11" s="166"/>
      <c r="E11" s="166"/>
      <c r="F11" s="166"/>
      <c r="G11" s="166"/>
      <c r="H11" s="167"/>
    </row>
    <row r="12" spans="1:8">
      <c r="A12" s="173" t="s">
        <v>1</v>
      </c>
      <c r="B12" s="169" t="s">
        <v>13</v>
      </c>
      <c r="C12" s="169" t="s">
        <v>14</v>
      </c>
      <c r="D12" s="176" t="s">
        <v>15</v>
      </c>
      <c r="E12" s="176" t="s">
        <v>16</v>
      </c>
      <c r="F12" s="169" t="s">
        <v>17</v>
      </c>
      <c r="G12" s="169" t="s">
        <v>18</v>
      </c>
      <c r="H12" s="171" t="s">
        <v>2</v>
      </c>
    </row>
    <row r="13" spans="1:8">
      <c r="A13" s="174"/>
      <c r="B13" s="175"/>
      <c r="C13" s="175"/>
      <c r="D13" s="170"/>
      <c r="E13" s="170"/>
      <c r="F13" s="170"/>
      <c r="G13" s="170"/>
      <c r="H13" s="172"/>
    </row>
    <row r="14" spans="1:8" ht="18.75">
      <c r="A14" s="7" t="s">
        <v>19</v>
      </c>
      <c r="B14" s="8" t="s">
        <v>20</v>
      </c>
      <c r="C14" s="168"/>
      <c r="D14" s="168"/>
      <c r="E14" s="168"/>
      <c r="F14" s="168"/>
      <c r="G14" s="9">
        <f>G15+G16</f>
        <v>285600000</v>
      </c>
      <c r="H14" s="10"/>
    </row>
    <row r="15" spans="1:8">
      <c r="A15" s="11" t="s">
        <v>21</v>
      </c>
      <c r="B15" s="12" t="s">
        <v>22</v>
      </c>
      <c r="C15" s="13" t="s">
        <v>113</v>
      </c>
      <c r="D15" s="14" t="s">
        <v>23</v>
      </c>
      <c r="E15" s="13" t="s">
        <v>24</v>
      </c>
      <c r="F15" s="15">
        <v>2400000</v>
      </c>
      <c r="G15" s="16">
        <f t="shared" ref="G15:G26" si="0">C15*E15*F15</f>
        <v>278400000</v>
      </c>
      <c r="H15" s="17"/>
    </row>
    <row r="16" spans="1:8">
      <c r="A16" s="11"/>
      <c r="B16" s="21" t="s">
        <v>152</v>
      </c>
      <c r="C16" s="13" t="s">
        <v>33</v>
      </c>
      <c r="D16" s="14" t="s">
        <v>151</v>
      </c>
      <c r="E16" s="13" t="s">
        <v>24</v>
      </c>
      <c r="F16" s="15">
        <v>2400000</v>
      </c>
      <c r="G16" s="16">
        <f t="shared" si="0"/>
        <v>7200000</v>
      </c>
      <c r="H16" s="17"/>
    </row>
    <row r="17" spans="1:8" ht="18.75">
      <c r="A17" s="18" t="s">
        <v>25</v>
      </c>
      <c r="B17" s="19" t="s">
        <v>26</v>
      </c>
      <c r="C17" s="168"/>
      <c r="D17" s="168"/>
      <c r="E17" s="168"/>
      <c r="F17" s="168"/>
      <c r="G17" s="9">
        <f>SUM(G18:G26)</f>
        <v>88200000</v>
      </c>
      <c r="H17" s="20"/>
    </row>
    <row r="18" spans="1:8">
      <c r="A18" s="11">
        <v>2</v>
      </c>
      <c r="B18" s="21" t="s">
        <v>27</v>
      </c>
      <c r="C18" s="13" t="s">
        <v>28</v>
      </c>
      <c r="D18" s="14" t="s">
        <v>29</v>
      </c>
      <c r="E18" s="13" t="s">
        <v>24</v>
      </c>
      <c r="F18" s="22">
        <v>10000000</v>
      </c>
      <c r="G18" s="16">
        <f t="shared" si="0"/>
        <v>40000000</v>
      </c>
      <c r="H18" s="17" t="s">
        <v>30</v>
      </c>
    </row>
    <row r="19" spans="1:8">
      <c r="A19" s="11">
        <v>3</v>
      </c>
      <c r="B19" s="21" t="s">
        <v>104</v>
      </c>
      <c r="C19" s="13" t="s">
        <v>24</v>
      </c>
      <c r="D19" s="14" t="s">
        <v>29</v>
      </c>
      <c r="E19" s="13" t="s">
        <v>24</v>
      </c>
      <c r="F19" s="15">
        <v>2000000</v>
      </c>
      <c r="G19" s="16">
        <f t="shared" si="0"/>
        <v>2000000</v>
      </c>
      <c r="H19" s="23" t="s">
        <v>32</v>
      </c>
    </row>
    <row r="20" spans="1:8">
      <c r="A20" s="11">
        <v>4</v>
      </c>
      <c r="B20" s="21" t="s">
        <v>104</v>
      </c>
      <c r="C20" s="13" t="s">
        <v>24</v>
      </c>
      <c r="D20" s="14" t="s">
        <v>29</v>
      </c>
      <c r="E20" s="13" t="s">
        <v>24</v>
      </c>
      <c r="F20" s="15">
        <v>2000000</v>
      </c>
      <c r="G20" s="16">
        <f t="shared" si="0"/>
        <v>2000000</v>
      </c>
      <c r="H20" s="23" t="s">
        <v>105</v>
      </c>
    </row>
    <row r="21" spans="1:8">
      <c r="A21" s="11">
        <v>5</v>
      </c>
      <c r="B21" s="21" t="s">
        <v>107</v>
      </c>
      <c r="C21" s="13" t="s">
        <v>24</v>
      </c>
      <c r="D21" s="14" t="s">
        <v>29</v>
      </c>
      <c r="E21" s="13" t="s">
        <v>24</v>
      </c>
      <c r="F21" s="15">
        <v>1200000</v>
      </c>
      <c r="G21" s="16">
        <f t="shared" ref="G21" si="1">C21*E21*F21</f>
        <v>1200000</v>
      </c>
      <c r="H21" s="23" t="s">
        <v>106</v>
      </c>
    </row>
    <row r="22" spans="1:8">
      <c r="A22" s="11">
        <v>6</v>
      </c>
      <c r="B22" s="21" t="s">
        <v>108</v>
      </c>
      <c r="C22" s="13" t="s">
        <v>24</v>
      </c>
      <c r="D22" s="14" t="s">
        <v>29</v>
      </c>
      <c r="E22" s="13" t="s">
        <v>67</v>
      </c>
      <c r="F22" s="15">
        <v>3000000</v>
      </c>
      <c r="G22" s="16">
        <f t="shared" ref="G22" si="2">C22*E22*F22</f>
        <v>0</v>
      </c>
      <c r="H22" s="23" t="s">
        <v>178</v>
      </c>
    </row>
    <row r="23" spans="1:8">
      <c r="A23" s="11">
        <v>7</v>
      </c>
      <c r="B23" s="21" t="s">
        <v>112</v>
      </c>
      <c r="C23" s="13" t="s">
        <v>24</v>
      </c>
      <c r="D23" s="14" t="s">
        <v>29</v>
      </c>
      <c r="E23" s="13" t="s">
        <v>24</v>
      </c>
      <c r="F23" s="15">
        <v>3500000</v>
      </c>
      <c r="G23" s="16">
        <f t="shared" si="0"/>
        <v>3500000</v>
      </c>
      <c r="H23" s="23" t="s">
        <v>103</v>
      </c>
    </row>
    <row r="24" spans="1:8">
      <c r="A24" s="11">
        <v>8</v>
      </c>
      <c r="B24" s="21" t="s">
        <v>27</v>
      </c>
      <c r="C24" s="13" t="s">
        <v>31</v>
      </c>
      <c r="D24" s="14" t="s">
        <v>29</v>
      </c>
      <c r="E24" s="13" t="s">
        <v>31</v>
      </c>
      <c r="F24" s="15">
        <v>6000000</v>
      </c>
      <c r="G24" s="16">
        <f t="shared" ref="G24:G25" si="3">C24*E24*F24</f>
        <v>24000000</v>
      </c>
      <c r="H24" s="23" t="s">
        <v>110</v>
      </c>
    </row>
    <row r="25" spans="1:8" ht="31.5">
      <c r="A25" s="11">
        <v>9</v>
      </c>
      <c r="B25" s="21" t="s">
        <v>109</v>
      </c>
      <c r="C25" s="13" t="s">
        <v>24</v>
      </c>
      <c r="D25" s="14" t="s">
        <v>29</v>
      </c>
      <c r="E25" s="13" t="s">
        <v>24</v>
      </c>
      <c r="F25" s="15">
        <v>3500000</v>
      </c>
      <c r="G25" s="16">
        <f t="shared" si="3"/>
        <v>3500000</v>
      </c>
      <c r="H25" s="23" t="s">
        <v>111</v>
      </c>
    </row>
    <row r="26" spans="1:8">
      <c r="A26" s="11">
        <v>10</v>
      </c>
      <c r="B26" s="21" t="s">
        <v>155</v>
      </c>
      <c r="C26" s="13" t="s">
        <v>24</v>
      </c>
      <c r="D26" s="14" t="s">
        <v>29</v>
      </c>
      <c r="E26" s="13" t="s">
        <v>24</v>
      </c>
      <c r="F26" s="15">
        <v>12000000</v>
      </c>
      <c r="G26" s="16">
        <f t="shared" si="0"/>
        <v>12000000</v>
      </c>
      <c r="H26" s="23" t="s">
        <v>156</v>
      </c>
    </row>
    <row r="27" spans="1:8" ht="18.75">
      <c r="A27" s="18" t="s">
        <v>50</v>
      </c>
      <c r="B27" s="19" t="s">
        <v>0</v>
      </c>
      <c r="C27" s="168"/>
      <c r="D27" s="168"/>
      <c r="E27" s="168"/>
      <c r="F27" s="168"/>
      <c r="G27" s="9">
        <f>SUM(G28:G47)</f>
        <v>235380000</v>
      </c>
      <c r="H27" s="20"/>
    </row>
    <row r="28" spans="1:8">
      <c r="A28" s="24">
        <v>1</v>
      </c>
      <c r="B28" s="25" t="s">
        <v>34</v>
      </c>
      <c r="C28" s="13" t="s">
        <v>113</v>
      </c>
      <c r="D28" s="14" t="s">
        <v>23</v>
      </c>
      <c r="E28" s="14">
        <v>1</v>
      </c>
      <c r="F28" s="26">
        <v>1000000</v>
      </c>
      <c r="G28" s="16">
        <f t="shared" ref="G28:G47" si="4">C28*E28*F28</f>
        <v>116000000</v>
      </c>
      <c r="H28" s="27"/>
    </row>
    <row r="29" spans="1:8">
      <c r="A29" s="24" t="s">
        <v>31</v>
      </c>
      <c r="B29" s="25" t="s">
        <v>35</v>
      </c>
      <c r="C29" s="13" t="s">
        <v>67</v>
      </c>
      <c r="D29" s="14" t="s">
        <v>23</v>
      </c>
      <c r="E29" s="14" t="s">
        <v>24</v>
      </c>
      <c r="F29" s="28">
        <v>550000</v>
      </c>
      <c r="G29" s="16">
        <f t="shared" si="4"/>
        <v>0</v>
      </c>
      <c r="H29" s="27"/>
    </row>
    <row r="30" spans="1:8">
      <c r="A30" s="24" t="s">
        <v>33</v>
      </c>
      <c r="B30" s="25" t="s">
        <v>79</v>
      </c>
      <c r="C30" s="14">
        <v>1</v>
      </c>
      <c r="D30" s="14" t="s">
        <v>36</v>
      </c>
      <c r="E30" s="14" t="s">
        <v>24</v>
      </c>
      <c r="F30" s="29">
        <v>15500000</v>
      </c>
      <c r="G30" s="16">
        <f t="shared" si="4"/>
        <v>15500000</v>
      </c>
      <c r="H30" s="30"/>
    </row>
    <row r="31" spans="1:8">
      <c r="A31" s="24" t="s">
        <v>28</v>
      </c>
      <c r="B31" s="31" t="s">
        <v>37</v>
      </c>
      <c r="C31" s="14">
        <v>1</v>
      </c>
      <c r="D31" s="14" t="s">
        <v>36</v>
      </c>
      <c r="E31" s="14" t="s">
        <v>24</v>
      </c>
      <c r="F31" s="28">
        <v>35700000</v>
      </c>
      <c r="G31" s="16">
        <f t="shared" si="4"/>
        <v>35700000</v>
      </c>
      <c r="H31" s="30"/>
    </row>
    <row r="32" spans="1:8">
      <c r="A32" s="24" t="s">
        <v>38</v>
      </c>
      <c r="B32" s="32" t="s">
        <v>39</v>
      </c>
      <c r="C32" s="14" t="s">
        <v>24</v>
      </c>
      <c r="D32" s="14" t="s">
        <v>40</v>
      </c>
      <c r="E32" s="14" t="s">
        <v>24</v>
      </c>
      <c r="F32" s="26">
        <v>10000000</v>
      </c>
      <c r="G32" s="16">
        <f t="shared" si="4"/>
        <v>10000000</v>
      </c>
      <c r="H32" s="33"/>
    </row>
    <row r="33" spans="1:8">
      <c r="A33" s="24" t="s">
        <v>41</v>
      </c>
      <c r="B33" s="32" t="s">
        <v>42</v>
      </c>
      <c r="C33" s="14" t="s">
        <v>24</v>
      </c>
      <c r="D33" s="14" t="s">
        <v>40</v>
      </c>
      <c r="E33" s="14" t="s">
        <v>24</v>
      </c>
      <c r="F33" s="26">
        <v>5500000</v>
      </c>
      <c r="G33" s="16">
        <f t="shared" si="4"/>
        <v>5500000</v>
      </c>
      <c r="H33" s="33"/>
    </row>
    <row r="34" spans="1:8" ht="23.1" customHeight="1">
      <c r="A34" s="24" t="s">
        <v>43</v>
      </c>
      <c r="B34" s="32" t="s">
        <v>44</v>
      </c>
      <c r="C34" s="14" t="s">
        <v>67</v>
      </c>
      <c r="D34" s="14" t="s">
        <v>45</v>
      </c>
      <c r="E34" s="14" t="s">
        <v>24</v>
      </c>
      <c r="F34" s="26">
        <v>4000000</v>
      </c>
      <c r="G34" s="16">
        <f t="shared" si="4"/>
        <v>0</v>
      </c>
      <c r="H34" s="33"/>
    </row>
    <row r="35" spans="1:8" s="107" customFormat="1">
      <c r="A35" s="24" t="s">
        <v>46</v>
      </c>
      <c r="B35" s="102" t="s">
        <v>117</v>
      </c>
      <c r="C35" s="103" t="s">
        <v>24</v>
      </c>
      <c r="D35" s="103" t="s">
        <v>47</v>
      </c>
      <c r="E35" s="103" t="s">
        <v>24</v>
      </c>
      <c r="F35" s="104">
        <v>12000000</v>
      </c>
      <c r="G35" s="105">
        <f t="shared" si="4"/>
        <v>12000000</v>
      </c>
      <c r="H35" s="106"/>
    </row>
    <row r="36" spans="1:8" s="107" customFormat="1">
      <c r="A36" s="24" t="s">
        <v>48</v>
      </c>
      <c r="B36" s="102" t="s">
        <v>120</v>
      </c>
      <c r="C36" s="103" t="s">
        <v>24</v>
      </c>
      <c r="D36" s="103" t="s">
        <v>47</v>
      </c>
      <c r="E36" s="103" t="s">
        <v>24</v>
      </c>
      <c r="F36" s="104">
        <v>10000000</v>
      </c>
      <c r="G36" s="105">
        <f t="shared" si="4"/>
        <v>10000000</v>
      </c>
      <c r="H36" s="106"/>
    </row>
    <row r="37" spans="1:8" s="107" customFormat="1">
      <c r="A37" s="24" t="s">
        <v>49</v>
      </c>
      <c r="B37" s="102" t="s">
        <v>173</v>
      </c>
      <c r="C37" s="103" t="s">
        <v>24</v>
      </c>
      <c r="D37" s="103" t="s">
        <v>47</v>
      </c>
      <c r="E37" s="103" t="s">
        <v>114</v>
      </c>
      <c r="F37" s="104">
        <v>240000</v>
      </c>
      <c r="G37" s="105">
        <f t="shared" si="4"/>
        <v>7200000</v>
      </c>
      <c r="H37" s="106"/>
    </row>
    <row r="38" spans="1:8" s="107" customFormat="1">
      <c r="A38" s="24" t="s">
        <v>81</v>
      </c>
      <c r="B38" s="102" t="s">
        <v>138</v>
      </c>
      <c r="C38" s="103" t="s">
        <v>24</v>
      </c>
      <c r="D38" s="103" t="s">
        <v>36</v>
      </c>
      <c r="E38" s="103" t="s">
        <v>24</v>
      </c>
      <c r="F38" s="104">
        <f>2880000+1600000</f>
        <v>4480000</v>
      </c>
      <c r="G38" s="105">
        <f t="shared" si="4"/>
        <v>4480000</v>
      </c>
      <c r="H38" s="106" t="s">
        <v>139</v>
      </c>
    </row>
    <row r="39" spans="1:8" s="107" customFormat="1">
      <c r="A39" s="24" t="s">
        <v>83</v>
      </c>
      <c r="B39" s="102" t="s">
        <v>82</v>
      </c>
      <c r="C39" s="103" t="s">
        <v>24</v>
      </c>
      <c r="D39" s="103" t="s">
        <v>47</v>
      </c>
      <c r="E39" s="103" t="s">
        <v>24</v>
      </c>
      <c r="F39" s="104">
        <v>7000000</v>
      </c>
      <c r="G39" s="105">
        <f t="shared" si="4"/>
        <v>7000000</v>
      </c>
      <c r="H39" s="106"/>
    </row>
    <row r="40" spans="1:8" s="107" customFormat="1">
      <c r="A40" s="24" t="s">
        <v>86</v>
      </c>
      <c r="B40" s="102" t="s">
        <v>84</v>
      </c>
      <c r="C40" s="103" t="s">
        <v>31</v>
      </c>
      <c r="D40" s="103" t="s">
        <v>85</v>
      </c>
      <c r="E40" s="103" t="s">
        <v>24</v>
      </c>
      <c r="F40" s="104">
        <v>1000000</v>
      </c>
      <c r="G40" s="105">
        <f t="shared" si="4"/>
        <v>2000000</v>
      </c>
      <c r="H40" s="106"/>
    </row>
    <row r="41" spans="1:8" s="107" customFormat="1">
      <c r="A41" s="24" t="s">
        <v>89</v>
      </c>
      <c r="B41" s="102" t="s">
        <v>87</v>
      </c>
      <c r="C41" s="103" t="s">
        <v>24</v>
      </c>
      <c r="D41" s="103" t="s">
        <v>88</v>
      </c>
      <c r="E41" s="103" t="s">
        <v>24</v>
      </c>
      <c r="F41" s="104">
        <v>3000000</v>
      </c>
      <c r="G41" s="105">
        <f t="shared" si="4"/>
        <v>3000000</v>
      </c>
      <c r="H41" s="106"/>
    </row>
    <row r="42" spans="1:8" s="107" customFormat="1">
      <c r="A42" s="24" t="s">
        <v>118</v>
      </c>
      <c r="B42" s="102" t="s">
        <v>115</v>
      </c>
      <c r="C42" s="103" t="s">
        <v>24</v>
      </c>
      <c r="D42" s="103" t="s">
        <v>116</v>
      </c>
      <c r="E42" s="103" t="s">
        <v>31</v>
      </c>
      <c r="F42" s="104">
        <v>500000</v>
      </c>
      <c r="G42" s="105">
        <f t="shared" si="4"/>
        <v>1000000</v>
      </c>
      <c r="H42" s="106"/>
    </row>
    <row r="43" spans="1:8" s="107" customFormat="1">
      <c r="A43" s="24" t="s">
        <v>119</v>
      </c>
      <c r="B43" s="102" t="s">
        <v>143</v>
      </c>
      <c r="C43" s="103" t="s">
        <v>24</v>
      </c>
      <c r="D43" s="103" t="s">
        <v>47</v>
      </c>
      <c r="E43" s="103" t="s">
        <v>24</v>
      </c>
      <c r="F43" s="104">
        <v>1000000</v>
      </c>
      <c r="G43" s="105">
        <f t="shared" ref="G43" si="5">C43*E43*F43</f>
        <v>1000000</v>
      </c>
      <c r="H43" s="106"/>
    </row>
    <row r="44" spans="1:8" s="107" customFormat="1">
      <c r="A44" s="24" t="s">
        <v>157</v>
      </c>
      <c r="B44" s="25" t="s">
        <v>193</v>
      </c>
      <c r="C44" s="103" t="s">
        <v>24</v>
      </c>
      <c r="D44" s="103" t="s">
        <v>47</v>
      </c>
      <c r="E44" s="103" t="s">
        <v>67</v>
      </c>
      <c r="F44" s="104">
        <v>1000000</v>
      </c>
      <c r="G44" s="105">
        <f t="shared" ref="G44" si="6">C44*E44*F44</f>
        <v>0</v>
      </c>
      <c r="H44" s="106" t="s">
        <v>178</v>
      </c>
    </row>
    <row r="45" spans="1:8" s="107" customFormat="1">
      <c r="A45" s="24" t="s">
        <v>158</v>
      </c>
      <c r="B45" s="102" t="s">
        <v>144</v>
      </c>
      <c r="C45" s="103" t="s">
        <v>24</v>
      </c>
      <c r="D45" s="103" t="s">
        <v>36</v>
      </c>
      <c r="E45" s="103" t="s">
        <v>24</v>
      </c>
      <c r="F45" s="104">
        <v>2000000</v>
      </c>
      <c r="G45" s="105">
        <f>C45*E45*F45</f>
        <v>2000000</v>
      </c>
      <c r="H45" s="106"/>
    </row>
    <row r="46" spans="1:8" s="107" customFormat="1">
      <c r="A46" s="24" t="s">
        <v>159</v>
      </c>
      <c r="B46" s="102" t="s">
        <v>145</v>
      </c>
      <c r="C46" s="103" t="s">
        <v>24</v>
      </c>
      <c r="D46" s="103" t="s">
        <v>36</v>
      </c>
      <c r="E46" s="103" t="s">
        <v>24</v>
      </c>
      <c r="F46" s="104">
        <v>1000000</v>
      </c>
      <c r="G46" s="105">
        <f>C46*E46*F46</f>
        <v>1000000</v>
      </c>
      <c r="H46" s="106"/>
    </row>
    <row r="47" spans="1:8">
      <c r="A47" s="24" t="s">
        <v>80</v>
      </c>
      <c r="B47" s="127" t="s">
        <v>175</v>
      </c>
      <c r="C47" s="111" t="s">
        <v>24</v>
      </c>
      <c r="D47" s="111" t="s">
        <v>36</v>
      </c>
      <c r="E47" s="14" t="s">
        <v>24</v>
      </c>
      <c r="F47" s="26">
        <v>2000000</v>
      </c>
      <c r="G47" s="16">
        <f t="shared" si="4"/>
        <v>2000000</v>
      </c>
      <c r="H47" s="33"/>
    </row>
    <row r="48" spans="1:8" ht="18.75">
      <c r="A48" s="7" t="s">
        <v>68</v>
      </c>
      <c r="B48" s="8" t="s">
        <v>51</v>
      </c>
      <c r="C48" s="177"/>
      <c r="D48" s="177"/>
      <c r="E48" s="177"/>
      <c r="F48" s="177"/>
      <c r="G48" s="9">
        <f>SUM(G49:G60)</f>
        <v>100540000</v>
      </c>
      <c r="H48" s="10"/>
    </row>
    <row r="49" spans="1:8">
      <c r="A49" s="24" t="s">
        <v>24</v>
      </c>
      <c r="B49" s="36" t="s">
        <v>121</v>
      </c>
      <c r="C49" s="13" t="s">
        <v>28</v>
      </c>
      <c r="D49" s="13" t="s">
        <v>52</v>
      </c>
      <c r="E49" s="13" t="s">
        <v>33</v>
      </c>
      <c r="F49" s="37">
        <v>500000</v>
      </c>
      <c r="G49" s="16">
        <f t="shared" ref="G49:G58" si="7">C49*E49*F49</f>
        <v>6000000</v>
      </c>
      <c r="H49" s="38"/>
    </row>
    <row r="50" spans="1:8" ht="42.95" customHeight="1">
      <c r="A50" s="24" t="s">
        <v>31</v>
      </c>
      <c r="B50" s="36" t="s">
        <v>90</v>
      </c>
      <c r="C50" s="13" t="s">
        <v>24</v>
      </c>
      <c r="D50" s="13" t="s">
        <v>52</v>
      </c>
      <c r="E50" s="13" t="s">
        <v>31</v>
      </c>
      <c r="F50" s="37">
        <v>500000</v>
      </c>
      <c r="G50" s="16">
        <f t="shared" si="7"/>
        <v>1000000</v>
      </c>
      <c r="H50" s="39"/>
    </row>
    <row r="51" spans="1:8">
      <c r="A51" s="24" t="s">
        <v>33</v>
      </c>
      <c r="B51" s="40" t="s">
        <v>91</v>
      </c>
      <c r="C51" s="14" t="s">
        <v>113</v>
      </c>
      <c r="D51" s="14" t="s">
        <v>52</v>
      </c>
      <c r="E51" s="14" t="s">
        <v>33</v>
      </c>
      <c r="F51" s="41">
        <v>20000</v>
      </c>
      <c r="G51" s="16">
        <f t="shared" si="7"/>
        <v>6960000</v>
      </c>
      <c r="H51" s="42"/>
    </row>
    <row r="52" spans="1:8" ht="33" customHeight="1">
      <c r="A52" s="24" t="s">
        <v>28</v>
      </c>
      <c r="B52" s="40" t="s">
        <v>53</v>
      </c>
      <c r="C52" s="14" t="s">
        <v>113</v>
      </c>
      <c r="D52" s="14" t="s">
        <v>52</v>
      </c>
      <c r="E52" s="43" t="s">
        <v>28</v>
      </c>
      <c r="F52" s="41">
        <v>12000</v>
      </c>
      <c r="G52" s="16">
        <f t="shared" si="7"/>
        <v>5568000</v>
      </c>
      <c r="H52" s="42"/>
    </row>
    <row r="53" spans="1:8">
      <c r="A53" s="44" t="s">
        <v>38</v>
      </c>
      <c r="B53" s="132" t="s">
        <v>54</v>
      </c>
      <c r="C53" s="43" t="s">
        <v>24</v>
      </c>
      <c r="D53" s="43" t="s">
        <v>47</v>
      </c>
      <c r="E53" s="43" t="s">
        <v>31</v>
      </c>
      <c r="F53" s="45">
        <v>15000000</v>
      </c>
      <c r="G53" s="34">
        <f t="shared" si="7"/>
        <v>30000000</v>
      </c>
      <c r="H53" s="42"/>
    </row>
    <row r="54" spans="1:8">
      <c r="A54" s="44" t="s">
        <v>41</v>
      </c>
      <c r="B54" s="132" t="s">
        <v>176</v>
      </c>
      <c r="C54" s="128" t="s">
        <v>24</v>
      </c>
      <c r="D54" s="128" t="s">
        <v>36</v>
      </c>
      <c r="E54" s="128" t="s">
        <v>24</v>
      </c>
      <c r="F54" s="45">
        <v>1000000</v>
      </c>
      <c r="G54" s="34">
        <f t="shared" si="7"/>
        <v>1000000</v>
      </c>
      <c r="H54" s="42"/>
    </row>
    <row r="55" spans="1:8" ht="15.75" customHeight="1">
      <c r="A55" s="44" t="s">
        <v>46</v>
      </c>
      <c r="B55" s="40" t="s">
        <v>55</v>
      </c>
      <c r="C55" s="14" t="s">
        <v>33</v>
      </c>
      <c r="D55" s="14" t="s">
        <v>52</v>
      </c>
      <c r="E55" s="14" t="s">
        <v>24</v>
      </c>
      <c r="F55" s="46">
        <v>500000</v>
      </c>
      <c r="G55" s="16">
        <f t="shared" si="7"/>
        <v>1500000</v>
      </c>
      <c r="H55" s="47"/>
    </row>
    <row r="56" spans="1:8">
      <c r="A56" s="44" t="s">
        <v>48</v>
      </c>
      <c r="B56" s="40" t="s">
        <v>92</v>
      </c>
      <c r="C56" s="14" t="s">
        <v>113</v>
      </c>
      <c r="D56" s="14" t="s">
        <v>56</v>
      </c>
      <c r="E56" s="14" t="s">
        <v>24</v>
      </c>
      <c r="F56" s="46">
        <v>32000</v>
      </c>
      <c r="G56" s="16">
        <f t="shared" si="7"/>
        <v>3712000</v>
      </c>
      <c r="H56" s="47"/>
    </row>
    <row r="57" spans="1:8">
      <c r="A57" s="44" t="s">
        <v>49</v>
      </c>
      <c r="B57" s="48" t="s">
        <v>93</v>
      </c>
      <c r="C57" s="14" t="s">
        <v>24</v>
      </c>
      <c r="D57" s="14" t="s">
        <v>47</v>
      </c>
      <c r="E57" s="14" t="s">
        <v>24</v>
      </c>
      <c r="F57" s="46">
        <v>18000000</v>
      </c>
      <c r="G57" s="16">
        <f t="shared" si="7"/>
        <v>18000000</v>
      </c>
      <c r="H57" s="49"/>
    </row>
    <row r="58" spans="1:8" ht="17.25" customHeight="1">
      <c r="A58" s="44" t="s">
        <v>81</v>
      </c>
      <c r="B58" s="48" t="s">
        <v>94</v>
      </c>
      <c r="C58" s="14" t="s">
        <v>31</v>
      </c>
      <c r="D58" s="14" t="s">
        <v>52</v>
      </c>
      <c r="E58" s="14" t="s">
        <v>31</v>
      </c>
      <c r="F58" s="46">
        <v>700000</v>
      </c>
      <c r="G58" s="16">
        <f t="shared" si="7"/>
        <v>2800000</v>
      </c>
      <c r="H58" s="49"/>
    </row>
    <row r="59" spans="1:8" ht="17.25" customHeight="1">
      <c r="A59" s="44" t="s">
        <v>83</v>
      </c>
      <c r="B59" s="112" t="s">
        <v>146</v>
      </c>
      <c r="C59" s="111" t="s">
        <v>46</v>
      </c>
      <c r="D59" s="14" t="s">
        <v>52</v>
      </c>
      <c r="E59" s="111" t="s">
        <v>24</v>
      </c>
      <c r="F59" s="46">
        <v>500000</v>
      </c>
      <c r="G59" s="16">
        <f>C59*E59*F59</f>
        <v>4000000</v>
      </c>
      <c r="H59" s="49"/>
    </row>
    <row r="60" spans="1:8" ht="15.75" customHeight="1">
      <c r="A60" s="44" t="s">
        <v>86</v>
      </c>
      <c r="B60" s="2" t="s">
        <v>57</v>
      </c>
      <c r="C60" s="14" t="s">
        <v>24</v>
      </c>
      <c r="D60" s="14" t="s">
        <v>47</v>
      </c>
      <c r="E60" s="14" t="s">
        <v>24</v>
      </c>
      <c r="F60" s="41">
        <v>20000000</v>
      </c>
      <c r="G60" s="16">
        <f>C60*E60*F60</f>
        <v>20000000</v>
      </c>
      <c r="H60" s="42"/>
    </row>
    <row r="61" spans="1:8" ht="18.75">
      <c r="A61" s="7" t="s">
        <v>95</v>
      </c>
      <c r="B61" s="8" t="s">
        <v>58</v>
      </c>
      <c r="C61" s="177"/>
      <c r="D61" s="177"/>
      <c r="E61" s="177"/>
      <c r="F61" s="177"/>
      <c r="G61" s="9">
        <f>SUM(G62:G68)</f>
        <v>473100000</v>
      </c>
      <c r="H61" s="10"/>
    </row>
    <row r="62" spans="1:8" ht="49.5" customHeight="1">
      <c r="A62" s="189" t="s">
        <v>24</v>
      </c>
      <c r="B62" s="186" t="s">
        <v>59</v>
      </c>
      <c r="C62" s="190" t="s">
        <v>24</v>
      </c>
      <c r="D62" s="190" t="s">
        <v>23</v>
      </c>
      <c r="E62" s="190" t="s">
        <v>24</v>
      </c>
      <c r="F62" s="46">
        <f>350000000-7200000</f>
        <v>342800000</v>
      </c>
      <c r="G62" s="46">
        <f t="shared" ref="G62:G68" si="8">C62*E62*F62</f>
        <v>342800000</v>
      </c>
      <c r="H62" s="42" t="s">
        <v>122</v>
      </c>
    </row>
    <row r="63" spans="1:8">
      <c r="A63" s="189" t="s">
        <v>33</v>
      </c>
      <c r="B63" s="187" t="s">
        <v>60</v>
      </c>
      <c r="C63" s="190" t="s">
        <v>41</v>
      </c>
      <c r="D63" s="190" t="s">
        <v>23</v>
      </c>
      <c r="E63" s="190" t="s">
        <v>24</v>
      </c>
      <c r="F63" s="46">
        <v>4000000</v>
      </c>
      <c r="G63" s="46">
        <f t="shared" si="8"/>
        <v>24000000</v>
      </c>
      <c r="H63" s="42"/>
    </row>
    <row r="64" spans="1:8">
      <c r="A64" s="189" t="s">
        <v>28</v>
      </c>
      <c r="B64" s="188" t="s">
        <v>177</v>
      </c>
      <c r="C64" s="190" t="s">
        <v>24</v>
      </c>
      <c r="D64" s="190" t="s">
        <v>47</v>
      </c>
      <c r="E64" s="190" t="s">
        <v>24</v>
      </c>
      <c r="F64" s="46">
        <v>19000000</v>
      </c>
      <c r="G64" s="46">
        <f t="shared" si="8"/>
        <v>19000000</v>
      </c>
      <c r="H64" s="42"/>
    </row>
    <row r="65" spans="1:8">
      <c r="A65" s="189" t="s">
        <v>38</v>
      </c>
      <c r="B65" s="187" t="s">
        <v>61</v>
      </c>
      <c r="C65" s="190" t="s">
        <v>24</v>
      </c>
      <c r="D65" s="190" t="s">
        <v>47</v>
      </c>
      <c r="E65" s="190" t="s">
        <v>24</v>
      </c>
      <c r="F65" s="46">
        <v>5000000</v>
      </c>
      <c r="G65" s="46">
        <f t="shared" si="8"/>
        <v>5000000</v>
      </c>
      <c r="H65" s="42"/>
    </row>
    <row r="66" spans="1:8">
      <c r="A66" s="189" t="s">
        <v>41</v>
      </c>
      <c r="B66" s="187" t="s">
        <v>63</v>
      </c>
      <c r="C66" s="190" t="s">
        <v>24</v>
      </c>
      <c r="D66" s="190" t="s">
        <v>62</v>
      </c>
      <c r="E66" s="190" t="s">
        <v>24</v>
      </c>
      <c r="F66" s="46">
        <v>42000000</v>
      </c>
      <c r="G66" s="46">
        <f t="shared" si="8"/>
        <v>42000000</v>
      </c>
      <c r="H66" s="42"/>
    </row>
    <row r="67" spans="1:8">
      <c r="A67" s="189" t="s">
        <v>43</v>
      </c>
      <c r="B67" s="187" t="s">
        <v>64</v>
      </c>
      <c r="C67" s="190" t="s">
        <v>113</v>
      </c>
      <c r="D67" s="190" t="s">
        <v>47</v>
      </c>
      <c r="E67" s="190" t="s">
        <v>31</v>
      </c>
      <c r="F67" s="46">
        <v>150000</v>
      </c>
      <c r="G67" s="46">
        <f t="shared" si="8"/>
        <v>34800000</v>
      </c>
      <c r="H67" s="42"/>
    </row>
    <row r="68" spans="1:8">
      <c r="A68" s="189" t="s">
        <v>46</v>
      </c>
      <c r="B68" s="187" t="s">
        <v>65</v>
      </c>
      <c r="C68" s="190" t="s">
        <v>24</v>
      </c>
      <c r="D68" s="190" t="s">
        <v>47</v>
      </c>
      <c r="E68" s="190" t="s">
        <v>24</v>
      </c>
      <c r="F68" s="46">
        <v>5500000</v>
      </c>
      <c r="G68" s="46">
        <f t="shared" si="8"/>
        <v>5500000</v>
      </c>
      <c r="H68" s="42"/>
    </row>
    <row r="69" spans="1:8" ht="18.75">
      <c r="A69" s="7" t="s">
        <v>96</v>
      </c>
      <c r="B69" s="50" t="s">
        <v>69</v>
      </c>
      <c r="C69" s="177"/>
      <c r="D69" s="177"/>
      <c r="E69" s="177"/>
      <c r="F69" s="177"/>
      <c r="G69" s="51">
        <f>SUM(G70:G73)</f>
        <v>20280000</v>
      </c>
      <c r="H69" s="52"/>
    </row>
    <row r="70" spans="1:8">
      <c r="A70" s="24" t="s">
        <v>24</v>
      </c>
      <c r="B70" s="53" t="s">
        <v>70</v>
      </c>
      <c r="C70" s="13" t="s">
        <v>113</v>
      </c>
      <c r="D70" s="53" t="s">
        <v>52</v>
      </c>
      <c r="E70" s="13" t="s">
        <v>67</v>
      </c>
      <c r="F70" s="54">
        <v>55000</v>
      </c>
      <c r="G70" s="16">
        <f t="shared" ref="G70:G73" si="9">C70*E70*F70</f>
        <v>0</v>
      </c>
      <c r="H70" s="55" t="s">
        <v>123</v>
      </c>
    </row>
    <row r="71" spans="1:8">
      <c r="A71" s="56" t="s">
        <v>31</v>
      </c>
      <c r="B71" s="57" t="s">
        <v>71</v>
      </c>
      <c r="C71" s="13" t="s">
        <v>124</v>
      </c>
      <c r="D71" s="53" t="s">
        <v>52</v>
      </c>
      <c r="E71" s="58" t="s">
        <v>24</v>
      </c>
      <c r="F71" s="59">
        <v>50000</v>
      </c>
      <c r="G71" s="16">
        <f t="shared" si="9"/>
        <v>1800000</v>
      </c>
      <c r="H71" s="60" t="s">
        <v>125</v>
      </c>
    </row>
    <row r="72" spans="1:8">
      <c r="A72" s="56" t="s">
        <v>33</v>
      </c>
      <c r="B72" s="57" t="s">
        <v>72</v>
      </c>
      <c r="C72" s="97" t="s">
        <v>183</v>
      </c>
      <c r="D72" s="53" t="s">
        <v>52</v>
      </c>
      <c r="E72" s="58" t="s">
        <v>24</v>
      </c>
      <c r="F72" s="59">
        <v>210000</v>
      </c>
      <c r="G72" s="16">
        <f t="shared" si="9"/>
        <v>18480000</v>
      </c>
      <c r="H72" s="61"/>
    </row>
    <row r="73" spans="1:8">
      <c r="A73" s="62" t="s">
        <v>28</v>
      </c>
      <c r="B73" s="63" t="s">
        <v>73</v>
      </c>
      <c r="C73" s="64" t="s">
        <v>78</v>
      </c>
      <c r="D73" s="53" t="s">
        <v>52</v>
      </c>
      <c r="E73" s="64" t="s">
        <v>67</v>
      </c>
      <c r="F73" s="65">
        <v>40000</v>
      </c>
      <c r="G73" s="66">
        <f t="shared" si="9"/>
        <v>0</v>
      </c>
      <c r="H73" s="67"/>
    </row>
    <row r="74" spans="1:8" ht="18.75">
      <c r="A74" s="68" t="s">
        <v>97</v>
      </c>
      <c r="B74" s="69" t="s">
        <v>98</v>
      </c>
      <c r="C74" s="70"/>
      <c r="D74" s="35"/>
      <c r="E74" s="70"/>
      <c r="F74" s="70"/>
      <c r="G74" s="71">
        <f>SUM(G75:G76)</f>
        <v>25000000</v>
      </c>
      <c r="H74" s="72"/>
    </row>
    <row r="75" spans="1:8">
      <c r="A75" s="62" t="s">
        <v>24</v>
      </c>
      <c r="B75" s="63" t="s">
        <v>99</v>
      </c>
      <c r="C75" s="64" t="s">
        <v>24</v>
      </c>
      <c r="D75" s="53" t="s">
        <v>47</v>
      </c>
      <c r="E75" s="64" t="s">
        <v>24</v>
      </c>
      <c r="F75" s="65">
        <v>20000000</v>
      </c>
      <c r="G75" s="66">
        <f>C75*E75*F75</f>
        <v>20000000</v>
      </c>
      <c r="H75" s="67"/>
    </row>
    <row r="76" spans="1:8">
      <c r="A76" s="62" t="s">
        <v>31</v>
      </c>
      <c r="B76" s="63" t="s">
        <v>126</v>
      </c>
      <c r="C76" s="64" t="s">
        <v>24</v>
      </c>
      <c r="D76" s="53" t="s">
        <v>47</v>
      </c>
      <c r="E76" s="64" t="s">
        <v>49</v>
      </c>
      <c r="F76" s="65">
        <v>500000</v>
      </c>
      <c r="G76" s="66">
        <f>C76*E76*F76</f>
        <v>5000000</v>
      </c>
      <c r="H76" s="67"/>
    </row>
    <row r="77" spans="1:8" ht="18.75">
      <c r="A77" s="7" t="s">
        <v>100</v>
      </c>
      <c r="B77" s="120" t="s">
        <v>163</v>
      </c>
      <c r="C77" s="177"/>
      <c r="D77" s="177"/>
      <c r="E77" s="177"/>
      <c r="F77" s="177"/>
      <c r="G77" s="51">
        <f>SUM(G78:G103)</f>
        <v>228847830</v>
      </c>
      <c r="H77" s="52"/>
    </row>
    <row r="78" spans="1:8">
      <c r="A78" s="24" t="s">
        <v>24</v>
      </c>
      <c r="B78" s="53" t="s">
        <v>127</v>
      </c>
      <c r="C78" s="13" t="s">
        <v>113</v>
      </c>
      <c r="D78" s="53" t="s">
        <v>52</v>
      </c>
      <c r="E78" s="13" t="s">
        <v>24</v>
      </c>
      <c r="F78" s="54">
        <v>250000</v>
      </c>
      <c r="G78" s="16">
        <f t="shared" ref="G78:G103" si="10">C78*E78*F78</f>
        <v>29000000</v>
      </c>
      <c r="H78" s="55"/>
    </row>
    <row r="79" spans="1:8">
      <c r="A79" s="24" t="s">
        <v>31</v>
      </c>
      <c r="B79" s="53" t="s">
        <v>128</v>
      </c>
      <c r="C79" s="13" t="s">
        <v>24</v>
      </c>
      <c r="D79" s="53" t="s">
        <v>36</v>
      </c>
      <c r="E79" s="13" t="s">
        <v>24</v>
      </c>
      <c r="F79" s="54">
        <v>3263000</v>
      </c>
      <c r="G79" s="16">
        <f t="shared" ref="G79:G80" si="11">C79*E79*F79</f>
        <v>3263000</v>
      </c>
      <c r="H79" s="55"/>
    </row>
    <row r="80" spans="1:8">
      <c r="A80" s="24" t="s">
        <v>33</v>
      </c>
      <c r="B80" s="53" t="s">
        <v>129</v>
      </c>
      <c r="C80" s="13" t="s">
        <v>24</v>
      </c>
      <c r="D80" s="53" t="s">
        <v>36</v>
      </c>
      <c r="E80" s="13" t="s">
        <v>24</v>
      </c>
      <c r="F80" s="54">
        <v>700000</v>
      </c>
      <c r="G80" s="16">
        <f t="shared" si="11"/>
        <v>700000</v>
      </c>
      <c r="H80" s="55"/>
    </row>
    <row r="81" spans="1:8">
      <c r="A81" s="24" t="s">
        <v>28</v>
      </c>
      <c r="B81" s="53" t="s">
        <v>130</v>
      </c>
      <c r="C81" s="13" t="s">
        <v>24</v>
      </c>
      <c r="D81" s="53" t="s">
        <v>36</v>
      </c>
      <c r="E81" s="13" t="s">
        <v>24</v>
      </c>
      <c r="F81" s="54">
        <v>200000</v>
      </c>
      <c r="G81" s="16">
        <f t="shared" ref="G81" si="12">C81*E81*F81</f>
        <v>200000</v>
      </c>
      <c r="H81" s="55"/>
    </row>
    <row r="82" spans="1:8">
      <c r="A82" s="24" t="s">
        <v>38</v>
      </c>
      <c r="B82" s="53" t="s">
        <v>131</v>
      </c>
      <c r="C82" s="13" t="s">
        <v>113</v>
      </c>
      <c r="D82" s="53" t="s">
        <v>52</v>
      </c>
      <c r="E82" s="13" t="s">
        <v>24</v>
      </c>
      <c r="F82" s="54">
        <v>400000</v>
      </c>
      <c r="G82" s="16">
        <f t="shared" si="10"/>
        <v>46400000</v>
      </c>
      <c r="H82" s="55"/>
    </row>
    <row r="83" spans="1:8">
      <c r="A83" s="95" t="s">
        <v>38</v>
      </c>
      <c r="B83" s="134" t="s">
        <v>132</v>
      </c>
      <c r="C83" s="125" t="s">
        <v>41</v>
      </c>
      <c r="D83" s="124" t="s">
        <v>133</v>
      </c>
      <c r="E83" s="125" t="s">
        <v>24</v>
      </c>
      <c r="F83" s="126">
        <v>720000</v>
      </c>
      <c r="G83" s="105">
        <f t="shared" ref="G83:G84" si="13">C83*E83*F83</f>
        <v>4320000</v>
      </c>
      <c r="H83" s="94" t="s">
        <v>184</v>
      </c>
    </row>
    <row r="84" spans="1:8">
      <c r="A84" s="95" t="s">
        <v>41</v>
      </c>
      <c r="B84" s="96" t="s">
        <v>134</v>
      </c>
      <c r="C84" s="97" t="s">
        <v>24</v>
      </c>
      <c r="D84" s="98" t="s">
        <v>133</v>
      </c>
      <c r="E84" s="99" t="s">
        <v>24</v>
      </c>
      <c r="F84" s="59">
        <v>3079000</v>
      </c>
      <c r="G84" s="74">
        <f t="shared" si="13"/>
        <v>3079000</v>
      </c>
      <c r="H84" s="100" t="s">
        <v>135</v>
      </c>
    </row>
    <row r="85" spans="1:8">
      <c r="A85" s="95" t="s">
        <v>43</v>
      </c>
      <c r="B85" s="96" t="s">
        <v>136</v>
      </c>
      <c r="C85" s="97" t="s">
        <v>119</v>
      </c>
      <c r="D85" s="98" t="s">
        <v>116</v>
      </c>
      <c r="E85" s="99" t="s">
        <v>24</v>
      </c>
      <c r="F85" s="59">
        <v>250000</v>
      </c>
      <c r="G85" s="74">
        <f t="shared" ref="G85" si="14">C85*E85*F85</f>
        <v>4000000</v>
      </c>
      <c r="H85" s="100"/>
    </row>
    <row r="86" spans="1:8">
      <c r="A86" s="95" t="s">
        <v>46</v>
      </c>
      <c r="B86" s="101" t="s">
        <v>74</v>
      </c>
      <c r="C86" s="97" t="s">
        <v>113</v>
      </c>
      <c r="D86" s="53" t="s">
        <v>52</v>
      </c>
      <c r="E86" s="58" t="s">
        <v>24</v>
      </c>
      <c r="F86" s="73">
        <v>400000</v>
      </c>
      <c r="G86" s="74">
        <f t="shared" si="10"/>
        <v>46400000</v>
      </c>
      <c r="H86" s="61"/>
    </row>
    <row r="87" spans="1:8">
      <c r="A87" s="95" t="s">
        <v>48</v>
      </c>
      <c r="B87" s="101" t="s">
        <v>137</v>
      </c>
      <c r="C87" s="97" t="s">
        <v>24</v>
      </c>
      <c r="D87" s="96" t="s">
        <v>36</v>
      </c>
      <c r="E87" s="99" t="s">
        <v>24</v>
      </c>
      <c r="F87" s="73">
        <v>2880000</v>
      </c>
      <c r="G87" s="74">
        <f t="shared" si="10"/>
        <v>2880000</v>
      </c>
      <c r="H87" s="61"/>
    </row>
    <row r="88" spans="1:8">
      <c r="A88" s="95" t="s">
        <v>49</v>
      </c>
      <c r="B88" s="96" t="s">
        <v>75</v>
      </c>
      <c r="C88" s="99" t="s">
        <v>113</v>
      </c>
      <c r="D88" s="57" t="s">
        <v>52</v>
      </c>
      <c r="E88" s="58" t="s">
        <v>24</v>
      </c>
      <c r="F88" s="59">
        <v>300000</v>
      </c>
      <c r="G88" s="74">
        <f t="shared" si="10"/>
        <v>34800000</v>
      </c>
      <c r="H88" s="61"/>
    </row>
    <row r="89" spans="1:8">
      <c r="A89" s="95" t="s">
        <v>81</v>
      </c>
      <c r="B89" s="96" t="s">
        <v>140</v>
      </c>
      <c r="C89" s="99" t="s">
        <v>24</v>
      </c>
      <c r="D89" s="96" t="s">
        <v>36</v>
      </c>
      <c r="E89" s="58" t="s">
        <v>24</v>
      </c>
      <c r="F89" s="59">
        <v>1024000</v>
      </c>
      <c r="G89" s="74">
        <f t="shared" ref="G89" si="15">C89*E89*F89</f>
        <v>1024000</v>
      </c>
      <c r="H89" s="61"/>
    </row>
    <row r="90" spans="1:8">
      <c r="A90" s="95" t="s">
        <v>83</v>
      </c>
      <c r="B90" s="96" t="s">
        <v>141</v>
      </c>
      <c r="C90" s="99" t="s">
        <v>24</v>
      </c>
      <c r="D90" s="96" t="s">
        <v>36</v>
      </c>
      <c r="E90" s="58" t="s">
        <v>24</v>
      </c>
      <c r="F90" s="59">
        <v>954000</v>
      </c>
      <c r="G90" s="74">
        <f t="shared" ref="G90" si="16">C90*E90*F90</f>
        <v>954000</v>
      </c>
      <c r="H90" s="61"/>
    </row>
    <row r="91" spans="1:8" ht="26.25" customHeight="1">
      <c r="A91" s="95" t="s">
        <v>86</v>
      </c>
      <c r="B91" s="76" t="s">
        <v>101</v>
      </c>
      <c r="C91" s="108" t="s">
        <v>113</v>
      </c>
      <c r="D91" s="93" t="s">
        <v>52</v>
      </c>
      <c r="E91" s="75" t="s">
        <v>24</v>
      </c>
      <c r="F91" s="77">
        <v>30000</v>
      </c>
      <c r="G91" s="78">
        <f t="shared" si="10"/>
        <v>3480000</v>
      </c>
      <c r="H91" s="79"/>
    </row>
    <row r="92" spans="1:8" ht="26.25" customHeight="1">
      <c r="A92" s="95" t="s">
        <v>89</v>
      </c>
      <c r="B92" s="109" t="s">
        <v>153</v>
      </c>
      <c r="C92" s="108" t="s">
        <v>24</v>
      </c>
      <c r="D92" s="110" t="s">
        <v>36</v>
      </c>
      <c r="E92" s="75" t="s">
        <v>24</v>
      </c>
      <c r="F92" s="77">
        <v>6903780</v>
      </c>
      <c r="G92" s="78">
        <f t="shared" ref="G92:G93" si="17">C92*E92*F92</f>
        <v>6903780</v>
      </c>
      <c r="H92" s="79"/>
    </row>
    <row r="93" spans="1:8" ht="26.25" customHeight="1">
      <c r="A93" s="95" t="s">
        <v>118</v>
      </c>
      <c r="B93" s="109" t="s">
        <v>154</v>
      </c>
      <c r="C93" s="108" t="s">
        <v>24</v>
      </c>
      <c r="D93" s="110" t="s">
        <v>36</v>
      </c>
      <c r="E93" s="75" t="s">
        <v>24</v>
      </c>
      <c r="F93" s="77">
        <v>2569050</v>
      </c>
      <c r="G93" s="78">
        <f t="shared" si="17"/>
        <v>2569050</v>
      </c>
      <c r="H93" s="79"/>
    </row>
    <row r="94" spans="1:8" ht="26.25" customHeight="1">
      <c r="A94" s="95" t="s">
        <v>119</v>
      </c>
      <c r="B94" s="109" t="s">
        <v>142</v>
      </c>
      <c r="C94" s="108" t="s">
        <v>24</v>
      </c>
      <c r="D94" s="110" t="s">
        <v>36</v>
      </c>
      <c r="E94" s="75" t="s">
        <v>24</v>
      </c>
      <c r="F94" s="77">
        <v>7000000</v>
      </c>
      <c r="G94" s="78">
        <f t="shared" ref="G94:G95" si="18">C94*E94*F94</f>
        <v>7000000</v>
      </c>
      <c r="H94" s="79"/>
    </row>
    <row r="95" spans="1:8">
      <c r="A95" s="95" t="s">
        <v>157</v>
      </c>
      <c r="B95" s="114" t="s">
        <v>148</v>
      </c>
      <c r="C95" s="80">
        <v>93</v>
      </c>
      <c r="D95" s="93" t="s">
        <v>52</v>
      </c>
      <c r="E95" s="80">
        <v>1</v>
      </c>
      <c r="F95" s="113">
        <v>30000</v>
      </c>
      <c r="G95" s="78">
        <f t="shared" si="18"/>
        <v>2790000</v>
      </c>
      <c r="H95" s="115" t="s">
        <v>149</v>
      </c>
    </row>
    <row r="96" spans="1:8">
      <c r="A96" s="95" t="s">
        <v>158</v>
      </c>
      <c r="B96" s="114" t="s">
        <v>150</v>
      </c>
      <c r="C96" s="80">
        <v>1</v>
      </c>
      <c r="D96" s="93" t="s">
        <v>52</v>
      </c>
      <c r="E96" s="80">
        <v>1</v>
      </c>
      <c r="F96" s="113">
        <v>100000</v>
      </c>
      <c r="G96" s="78">
        <f t="shared" ref="G96" si="19">C96*E96*F96</f>
        <v>100000</v>
      </c>
      <c r="H96" s="115"/>
    </row>
    <row r="97" spans="1:8">
      <c r="A97" s="95" t="s">
        <v>159</v>
      </c>
      <c r="B97" s="114" t="s">
        <v>160</v>
      </c>
      <c r="C97" s="80">
        <v>1</v>
      </c>
      <c r="D97" s="93" t="s">
        <v>36</v>
      </c>
      <c r="E97" s="80">
        <v>1</v>
      </c>
      <c r="F97" s="113">
        <v>1700000</v>
      </c>
      <c r="G97" s="78">
        <f t="shared" ref="G97:G98" si="20">C97*E97*F97</f>
        <v>1700000</v>
      </c>
      <c r="H97" s="115"/>
    </row>
    <row r="98" spans="1:8">
      <c r="A98" s="95" t="s">
        <v>80</v>
      </c>
      <c r="B98" s="114" t="s">
        <v>161</v>
      </c>
      <c r="C98" s="80">
        <v>1</v>
      </c>
      <c r="D98" s="116" t="s">
        <v>36</v>
      </c>
      <c r="E98" s="80">
        <v>1</v>
      </c>
      <c r="F98" s="113">
        <v>500000</v>
      </c>
      <c r="G98" s="78">
        <f t="shared" si="20"/>
        <v>500000</v>
      </c>
      <c r="H98" s="115"/>
    </row>
    <row r="99" spans="1:8">
      <c r="A99" s="95" t="s">
        <v>162</v>
      </c>
      <c r="B99" s="2" t="s">
        <v>66</v>
      </c>
      <c r="C99" s="14" t="s">
        <v>24</v>
      </c>
      <c r="D99" s="117" t="s">
        <v>36</v>
      </c>
      <c r="E99" s="14" t="s">
        <v>24</v>
      </c>
      <c r="F99" s="41">
        <v>20000000</v>
      </c>
      <c r="G99" s="119">
        <f>C99*E99*F99</f>
        <v>20000000</v>
      </c>
      <c r="H99" s="42"/>
    </row>
    <row r="100" spans="1:8">
      <c r="A100" s="95" t="s">
        <v>164</v>
      </c>
      <c r="B100" s="121" t="s">
        <v>170</v>
      </c>
      <c r="C100" s="14" t="s">
        <v>24</v>
      </c>
      <c r="D100" s="122" t="s">
        <v>165</v>
      </c>
      <c r="E100" s="14" t="s">
        <v>24</v>
      </c>
      <c r="F100" s="41">
        <v>1985000</v>
      </c>
      <c r="G100" s="119">
        <f>C100*E100*F100</f>
        <v>1985000</v>
      </c>
      <c r="H100" s="123" t="s">
        <v>166</v>
      </c>
    </row>
    <row r="101" spans="1:8">
      <c r="A101" s="95" t="s">
        <v>169</v>
      </c>
      <c r="B101" s="121" t="s">
        <v>167</v>
      </c>
      <c r="C101" s="111" t="s">
        <v>41</v>
      </c>
      <c r="D101" s="122" t="s">
        <v>165</v>
      </c>
      <c r="E101" s="14" t="s">
        <v>24</v>
      </c>
      <c r="F101" s="41">
        <v>400000</v>
      </c>
      <c r="G101" s="119">
        <f>C101*E101*F101</f>
        <v>2400000</v>
      </c>
      <c r="H101" s="123"/>
    </row>
    <row r="102" spans="1:8">
      <c r="A102" s="95" t="s">
        <v>171</v>
      </c>
      <c r="B102" s="121" t="s">
        <v>168</v>
      </c>
      <c r="C102" s="111" t="s">
        <v>24</v>
      </c>
      <c r="D102" s="122" t="s">
        <v>116</v>
      </c>
      <c r="E102" s="14" t="s">
        <v>24</v>
      </c>
      <c r="F102" s="41">
        <v>400000</v>
      </c>
      <c r="G102" s="119">
        <f>C102*E102*F102</f>
        <v>400000</v>
      </c>
      <c r="H102" s="123"/>
    </row>
    <row r="103" spans="1:8">
      <c r="A103" s="95" t="s">
        <v>172</v>
      </c>
      <c r="B103" s="114" t="s">
        <v>147</v>
      </c>
      <c r="C103" s="80">
        <v>1</v>
      </c>
      <c r="D103" s="118" t="s">
        <v>36</v>
      </c>
      <c r="E103" s="80">
        <v>1</v>
      </c>
      <c r="F103" s="113">
        <v>2000000</v>
      </c>
      <c r="G103" s="78">
        <f t="shared" si="10"/>
        <v>2000000</v>
      </c>
      <c r="H103" s="79"/>
    </row>
    <row r="104" spans="1:8" ht="18.75">
      <c r="A104" s="178"/>
      <c r="B104" s="179"/>
      <c r="C104" s="179"/>
      <c r="D104" s="179"/>
      <c r="E104" s="179"/>
      <c r="F104" s="179"/>
      <c r="G104" s="179"/>
      <c r="H104" s="180"/>
    </row>
    <row r="105" spans="1:8" ht="18.75">
      <c r="A105" s="81">
        <v>1</v>
      </c>
      <c r="B105" s="82" t="s">
        <v>76</v>
      </c>
      <c r="C105" s="181"/>
      <c r="D105" s="181"/>
      <c r="E105" s="181"/>
      <c r="F105" s="181"/>
      <c r="G105" s="83">
        <f>G14+G17+G27+G48+G61+G77+G74+G69</f>
        <v>1456947830</v>
      </c>
      <c r="H105" s="183"/>
    </row>
    <row r="106" spans="1:8" ht="18.75">
      <c r="A106" s="84">
        <v>2</v>
      </c>
      <c r="B106" s="85" t="s">
        <v>102</v>
      </c>
      <c r="C106" s="86"/>
      <c r="D106" s="86"/>
      <c r="E106" s="86"/>
      <c r="F106" s="86"/>
      <c r="G106" s="87">
        <f>G105*0.07</f>
        <v>101986348.10000001</v>
      </c>
      <c r="H106" s="184"/>
    </row>
    <row r="107" spans="1:8" ht="18.75">
      <c r="A107" s="84">
        <v>3</v>
      </c>
      <c r="B107" s="85" t="s">
        <v>77</v>
      </c>
      <c r="C107" s="182"/>
      <c r="D107" s="182"/>
      <c r="E107" s="182"/>
      <c r="F107" s="182"/>
      <c r="G107" s="87">
        <f>(G105+G106)*0.08</f>
        <v>124714734.248</v>
      </c>
      <c r="H107" s="185"/>
    </row>
    <row r="108" spans="1:8" ht="18.75">
      <c r="A108" s="84"/>
      <c r="B108" s="130" t="s">
        <v>182</v>
      </c>
      <c r="C108" s="129"/>
      <c r="D108" s="129"/>
      <c r="E108" s="129"/>
      <c r="F108" s="129"/>
      <c r="G108" s="133">
        <f>SUM(G105:G107)</f>
        <v>1683648912.3479998</v>
      </c>
      <c r="H108" s="140"/>
    </row>
    <row r="109" spans="1:8" ht="18.75">
      <c r="A109" s="84"/>
      <c r="B109" s="85" t="s">
        <v>192</v>
      </c>
      <c r="C109" s="13" t="s">
        <v>113</v>
      </c>
      <c r="D109" s="14" t="s">
        <v>23</v>
      </c>
      <c r="E109" s="13" t="s">
        <v>24</v>
      </c>
      <c r="F109" s="15">
        <v>4840000</v>
      </c>
      <c r="G109" s="16">
        <f>C109*E109*F109</f>
        <v>561440000</v>
      </c>
      <c r="H109" s="89"/>
    </row>
    <row r="110" spans="1:8" ht="18.75">
      <c r="A110" s="84"/>
      <c r="B110" s="85" t="s">
        <v>189</v>
      </c>
      <c r="C110" s="13" t="s">
        <v>43</v>
      </c>
      <c r="D110" s="14" t="s">
        <v>23</v>
      </c>
      <c r="E110" s="13" t="s">
        <v>24</v>
      </c>
      <c r="F110" s="15">
        <v>4840000</v>
      </c>
      <c r="G110" s="16">
        <f>C110*E110*F110</f>
        <v>33880000</v>
      </c>
      <c r="H110" s="89"/>
    </row>
    <row r="111" spans="1:8" ht="18.75">
      <c r="A111" s="84"/>
      <c r="B111" s="85" t="s">
        <v>190</v>
      </c>
      <c r="C111" s="13" t="s">
        <v>28</v>
      </c>
      <c r="D111" s="14" t="s">
        <v>23</v>
      </c>
      <c r="E111" s="13" t="s">
        <v>24</v>
      </c>
      <c r="F111" s="15">
        <v>4840000</v>
      </c>
      <c r="G111" s="16">
        <f>C111*E111*F111</f>
        <v>19360000</v>
      </c>
      <c r="H111" s="89"/>
    </row>
    <row r="112" spans="1:8" ht="18.75">
      <c r="A112" s="84"/>
      <c r="B112" s="85" t="s">
        <v>179</v>
      </c>
      <c r="C112" s="13" t="s">
        <v>186</v>
      </c>
      <c r="D112" s="14" t="s">
        <v>23</v>
      </c>
      <c r="E112" s="13" t="s">
        <v>24</v>
      </c>
      <c r="F112" s="15">
        <v>100000</v>
      </c>
      <c r="G112" s="16">
        <f t="shared" ref="G112" si="21">C112*E112*F112</f>
        <v>12700000</v>
      </c>
      <c r="H112" s="89"/>
    </row>
    <row r="113" spans="1:8" ht="18.75">
      <c r="A113" s="84"/>
      <c r="B113" s="85" t="s">
        <v>191</v>
      </c>
      <c r="C113" s="13" t="s">
        <v>33</v>
      </c>
      <c r="D113" s="14" t="s">
        <v>23</v>
      </c>
      <c r="E113" s="13" t="s">
        <v>24</v>
      </c>
      <c r="F113" s="15">
        <v>4840000</v>
      </c>
      <c r="G113" s="16">
        <f>C113*E113*F113</f>
        <v>14520000</v>
      </c>
      <c r="H113" s="89"/>
    </row>
    <row r="114" spans="1:8" ht="18.75">
      <c r="A114" s="84"/>
      <c r="B114" s="130" t="s">
        <v>180</v>
      </c>
      <c r="C114" s="129"/>
      <c r="D114" s="129"/>
      <c r="E114" s="129"/>
      <c r="F114" s="129"/>
      <c r="G114" s="133">
        <f>SUM(G109:G113)</f>
        <v>641900000</v>
      </c>
      <c r="H114" s="140"/>
    </row>
    <row r="115" spans="1:8" ht="18.75">
      <c r="A115" s="84"/>
      <c r="B115" s="131" t="s">
        <v>181</v>
      </c>
      <c r="C115" s="86"/>
      <c r="D115" s="86"/>
      <c r="E115" s="86"/>
      <c r="F115" s="86"/>
      <c r="G115" s="88">
        <f>G108+G114</f>
        <v>2325548912.3479996</v>
      </c>
      <c r="H115" s="89"/>
    </row>
    <row r="116" spans="1:8" ht="18.75">
      <c r="A116" s="90"/>
      <c r="B116" s="91" t="s">
        <v>187</v>
      </c>
      <c r="C116" s="92"/>
      <c r="D116" s="92"/>
      <c r="E116" s="92"/>
      <c r="F116" s="92"/>
      <c r="G116" s="138">
        <v>10000000</v>
      </c>
      <c r="H116" s="89"/>
    </row>
    <row r="117" spans="1:8" ht="18.75">
      <c r="A117" s="135"/>
      <c r="B117" s="137" t="s">
        <v>188</v>
      </c>
      <c r="C117" s="136"/>
      <c r="D117" s="136"/>
      <c r="E117" s="136"/>
      <c r="F117" s="136"/>
      <c r="G117" s="139">
        <f>G115-G116</f>
        <v>2315548912.3479996</v>
      </c>
      <c r="H117" s="89"/>
    </row>
  </sheetData>
  <mergeCells count="35">
    <mergeCell ref="C77:F77"/>
    <mergeCell ref="A104:H104"/>
    <mergeCell ref="C105:F105"/>
    <mergeCell ref="C107:F107"/>
    <mergeCell ref="H105:H107"/>
    <mergeCell ref="C17:F17"/>
    <mergeCell ref="C27:F27"/>
    <mergeCell ref="C48:F48"/>
    <mergeCell ref="C61:F61"/>
    <mergeCell ref="C69:F69"/>
    <mergeCell ref="A10:B10"/>
    <mergeCell ref="D10:F10"/>
    <mergeCell ref="G10:H10"/>
    <mergeCell ref="A11:H11"/>
    <mergeCell ref="C14:F14"/>
    <mergeCell ref="F12:F13"/>
    <mergeCell ref="G12:G13"/>
    <mergeCell ref="H12:H13"/>
    <mergeCell ref="A12:A13"/>
    <mergeCell ref="B12:B13"/>
    <mergeCell ref="C12:C13"/>
    <mergeCell ref="D12:D13"/>
    <mergeCell ref="E12:E13"/>
    <mergeCell ref="A8:B8"/>
    <mergeCell ref="G8:H8"/>
    <mergeCell ref="A9:B9"/>
    <mergeCell ref="D9:F9"/>
    <mergeCell ref="G9:H9"/>
    <mergeCell ref="D7:F8"/>
    <mergeCell ref="A5:H5"/>
    <mergeCell ref="A6:B6"/>
    <mergeCell ref="D6:F6"/>
    <mergeCell ref="G6:H6"/>
    <mergeCell ref="A7:B7"/>
    <mergeCell ref="G7:H7"/>
  </mergeCells>
  <pageMargins left="0.75" right="0.75" top="1" bottom="1" header="0.5" footer="0.5"/>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BAO GIA DOT 1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Ho Thi Nhu Quynh</cp:lastModifiedBy>
  <dcterms:created xsi:type="dcterms:W3CDTF">2022-08-01T07:47:00Z</dcterms:created>
  <dcterms:modified xsi:type="dcterms:W3CDTF">2022-10-18T01:44:54Z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BFB6FAF25D1A45E4A7EF29C01D35B9DF</vt:lpwstr>
  </property>
  <property fmtid="{D5CDD505-2E9C-101B-9397-08002B2CF9AE}" pid="3" name="KSOProductBuildVer">
    <vt:lpwstr>1033-11.2.0.11254</vt:lpwstr>
  </property>
</Properties>
</file>