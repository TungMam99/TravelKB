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E:\DOAN ĐÃ BÁO GIÁ\METAN\DANG CHOT\"/>
    </mc:Choice>
  </mc:AlternateContent>
  <xr:revisionPtr revIDLastSave="2" documentId="13_ncr:1_{71599C92-7DC4-41F2-9F26-8262440E30B8}" xr6:coauthVersionLast="47" xr6:coauthVersionMax="47" xr10:uidLastSave="{411B465F-16DB-4DCA-98FA-4DAAA28C7CA4}"/>
  <bookViews>
    <workbookView xWindow="-120" yWindow="-120" windowWidth="21840" windowHeight="13140" xr2:uid="{00000000-000D-0000-FFFF-FFFF00000000}"/>
  </bookViews>
  <sheets>
    <sheet name="HNH - Quotation" sheetId="1" r:id="rId1"/>
    <sheet name="Sheet1" sheetId="2" r:id="rId2"/>
    <sheet name="Quyết toán" sheetId="4" r:id="rId3"/>
  </sheets>
  <definedNames>
    <definedName name="_xlnm.Print_Area" localSheetId="0">'HNH - Quotation'!$B$1:$K$36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G11" i="4"/>
  <c r="G24" i="4"/>
  <c r="G18" i="4" l="1"/>
  <c r="G17" i="4"/>
  <c r="G14" i="4"/>
  <c r="G15" i="4"/>
  <c r="G23" i="4"/>
  <c r="G22" i="4"/>
  <c r="G21" i="4"/>
  <c r="G20" i="4"/>
  <c r="G13" i="4"/>
  <c r="G10" i="4"/>
  <c r="G9" i="4"/>
  <c r="G8" i="4"/>
  <c r="G7" i="4"/>
  <c r="G7" i="2"/>
  <c r="G25" i="4" l="1"/>
  <c r="G27" i="4" s="1"/>
  <c r="G24" i="2"/>
  <c r="G23" i="2"/>
  <c r="G22" i="2"/>
  <c r="G21" i="2"/>
  <c r="G18" i="2"/>
  <c r="G17" i="2"/>
  <c r="G16" i="2"/>
  <c r="G14" i="2"/>
  <c r="G12" i="2"/>
  <c r="G10" i="2"/>
  <c r="G8" i="2"/>
  <c r="G6" i="2"/>
  <c r="G5" i="2"/>
  <c r="J10" i="1"/>
  <c r="G25" i="2" l="1"/>
  <c r="G26" i="2" s="1"/>
  <c r="J33" i="1"/>
  <c r="J32" i="1"/>
  <c r="J25" i="1"/>
  <c r="J24" i="1"/>
  <c r="J12" i="1"/>
  <c r="J11" i="1"/>
  <c r="J34" i="1"/>
  <c r="J31" i="1"/>
  <c r="B31" i="1"/>
  <c r="J29" i="1"/>
  <c r="B29" i="1"/>
  <c r="J27" i="1"/>
  <c r="J26" i="1"/>
  <c r="J23" i="1"/>
  <c r="J22" i="1"/>
  <c r="J19" i="1"/>
  <c r="I18" i="1"/>
  <c r="J18" i="1" s="1"/>
  <c r="I17" i="1"/>
  <c r="J17" i="1" s="1"/>
  <c r="J16" i="1"/>
  <c r="J15" i="1"/>
  <c r="J14" i="1"/>
  <c r="K6" i="1"/>
  <c r="J35" i="1" l="1"/>
  <c r="J36" i="1" s="1"/>
</calcChain>
</file>

<file path=xl/sharedStrings.xml><?xml version="1.0" encoding="utf-8"?>
<sst xmlns="http://schemas.openxmlformats.org/spreadsheetml/2006/main" count="201" uniqueCount="109">
  <si>
    <t>HEINEKEN GLOBAL 10 DEC
THE CHAINSMOKER (TCS) HOSPITALITY RIDER CHECKLIST</t>
  </si>
  <si>
    <t>No.</t>
  </si>
  <si>
    <t>Rider request</t>
  </si>
  <si>
    <t xml:space="preserve">Metan can provide </t>
  </si>
  <si>
    <t>Unit 1</t>
  </si>
  <si>
    <t>Quantity 1</t>
  </si>
  <si>
    <t>Unit 2</t>
  </si>
  <si>
    <t>Quantity 2</t>
  </si>
  <si>
    <t>Unit Price
(VND)</t>
  </si>
  <si>
    <t>Total Amount
(VND)</t>
  </si>
  <si>
    <t>Remarks</t>
  </si>
  <si>
    <t>A.</t>
  </si>
  <si>
    <t>GROUND TRANSPORT</t>
  </si>
  <si>
    <t>Shuttle 
*English Speaking Driver
*Priority SUV ( Sprinter, Premium SUV, Mercedes V Class or Viano, BMW 5/7, Audi A6/A8 …)
**Chainsmokers should have at its disposal DEDICATED: at least two (2) vans for Crew up to twelve (12) pax, one (1) Spinter or two (2) vans / SUV’s for A Party up to six (6) pax + access to one (1) runner all day if requested.</t>
  </si>
  <si>
    <r>
      <t xml:space="preserve">Ngày 9/12 : đón 1 khách – 1 xe 
Ngày 10/12: đón 13 khách – 3 xe ( xe chở dược 7 khách &amp; 1 xe hành lý ) 
Ngày 11/12 : đưa 14 khách – 3 xe ( xe chở dược 7 khách &amp; 1 xe hành lý )
</t>
    </r>
    <r>
      <rPr>
        <sz val="10"/>
        <color rgb="FFFF0000"/>
        <rFont val="Times New Roman"/>
        <family val="1"/>
      </rPr>
      <t>Ngày 10/12: 02 xe trực 24/24, phí phụ thu</t>
    </r>
  </si>
  <si>
    <t>Bus</t>
  </si>
  <si>
    <t>day</t>
  </si>
  <si>
    <t xml:space="preserve">*Limit : 10 hours/100km/ Car 
Overtimes: +300.000 vnd/h
Over km: +300.000 vnd/km
Stand-by 24/24: +6.000.000 vnd/day
</t>
  </si>
  <si>
    <t>B</t>
  </si>
  <si>
    <t xml:space="preserve">HOTEL </t>
  </si>
  <si>
    <t>King Suite Deluxe room
* Near venue 
* 1 night 
*Early check in and Late check out (minium 4pm)</t>
  </si>
  <si>
    <t>*Check in/out: 09 Dec - 11 Dec
*Hotel suggest: Park Hyatt Saigon
*Room type: Park room city view (Double)
*Square of room:  34sqm
*Include breakfast</t>
  </si>
  <si>
    <t>night</t>
  </si>
  <si>
    <t xml:space="preserve">room </t>
  </si>
  <si>
    <r>
      <rPr>
        <b/>
        <i/>
        <sz val="10"/>
        <color theme="1"/>
        <rFont val="Times New Roman"/>
        <family val="1"/>
      </rPr>
      <t>- The price is applied for 01 pax/room.</t>
    </r>
    <r>
      <rPr>
        <i/>
        <sz val="10"/>
        <color theme="1"/>
        <rFont val="Times New Roman"/>
        <family val="1"/>
      </rPr>
      <t xml:space="preserve">
- The above rates are applied for </t>
    </r>
    <r>
      <rPr>
        <b/>
        <i/>
        <sz val="10"/>
        <color theme="1"/>
        <rFont val="Times New Roman"/>
        <family val="1"/>
      </rPr>
      <t>group of 10 rooms onward</t>
    </r>
    <r>
      <rPr>
        <i/>
        <sz val="10"/>
        <color theme="1"/>
        <rFont val="Times New Roman"/>
        <family val="1"/>
      </rPr>
      <t xml:space="preserve">. Shall the group materialize less than 10 rooms, the hotel daily rate will be applied.
- Hotel rooms are available for guest </t>
    </r>
    <r>
      <rPr>
        <b/>
        <i/>
        <sz val="10"/>
        <color theme="1"/>
        <rFont val="Times New Roman"/>
        <family val="1"/>
      </rPr>
      <t xml:space="preserve">check-in after 15:00 hours. </t>
    </r>
    <r>
      <rPr>
        <i/>
        <sz val="10"/>
        <color theme="1"/>
        <rFont val="Times New Roman"/>
        <family val="1"/>
      </rPr>
      <t xml:space="preserve">
- </t>
    </r>
    <r>
      <rPr>
        <b/>
        <i/>
        <sz val="10"/>
        <color theme="1"/>
        <rFont val="Times New Roman"/>
        <family val="1"/>
      </rPr>
      <t>Check-out time: 12:00 hours.</t>
    </r>
    <r>
      <rPr>
        <i/>
        <sz val="10"/>
        <color theme="1"/>
        <rFont val="Times New Roman"/>
        <family val="1"/>
      </rPr>
      <t xml:space="preserve"> Late check-out is subject to availability and charges apply as follows:
+ Until 18:00 hours: 50% of the room rate
+ After 18:00 hours: 100% of the room rate.
</t>
    </r>
    <r>
      <rPr>
        <b/>
        <i/>
        <sz val="10"/>
        <color rgb="FFFF0000"/>
        <rFont val="Times New Roman"/>
        <family val="1"/>
      </rPr>
      <t>- Rates are quoted valid till 16 Nov 2022.
 The 100% deposit required by 16:00 am 16.11.2022 with non-refundable</t>
    </r>
    <r>
      <rPr>
        <b/>
        <i/>
        <sz val="10"/>
        <rFont val="Times New Roman"/>
        <family val="1"/>
      </rPr>
      <t xml:space="preserve">, the hotel </t>
    </r>
    <r>
      <rPr>
        <b/>
        <i/>
        <sz val="10"/>
        <color rgb="FFFF0000"/>
        <rFont val="Times New Roman"/>
        <family val="1"/>
      </rPr>
      <t xml:space="preserve">
</t>
    </r>
    <r>
      <rPr>
        <b/>
        <i/>
        <sz val="10"/>
        <rFont val="Times New Roman"/>
        <family val="1"/>
      </rPr>
      <t>reserves the right to release the room block and all function space held without prior notice.</t>
    </r>
    <r>
      <rPr>
        <b/>
        <i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 xml:space="preserve">
</t>
    </r>
  </si>
  <si>
    <t>King Suite Deluxe room
* Near venue 
* 1 night 
*Eearly check in and Late check out (minium 4pm)</t>
  </si>
  <si>
    <t>*Check in/out: 10 Dec - 11 Dec
*Hotel suggest: Park Hyatt Saigon
*Room type: Lam Son Suite - Double
*Square of room: 77 sqm
*Include breakfast</t>
  </si>
  <si>
    <t>King Room
* Near venue 
* 1 night 
*Eearly check in and Late check out (minium 4pm)</t>
  </si>
  <si>
    <t>*Check in/out: 10 Dec - 11 Dec
*Hotel suggest: Park Hyatt Saigon
*Room type: Park Room City View - Double
*Square of room: 34sqm
*Include breakfast</t>
  </si>
  <si>
    <t>Late check-out 11 Dec (before 18h00)
*Hotel suggest: Park Hyatt Saigon
*Room type: Park Room City View
*Square of room: 34sqm</t>
  </si>
  <si>
    <t>room</t>
  </si>
  <si>
    <t>Late check-out 11 Dec (before 18h00)
*Hotel suggest: Park Hyatt Saigon
*Room type: Lam Son Suite - Double
*Square of room: 77 sqm
*Include breakfast</t>
  </si>
  <si>
    <t>Early check in before 15:00
*Hotel suggest: Park Hyatt Saigon
*Room type: Lam Son Suite - Double
*Square of room: 77 sqm
*Include breakfast</t>
  </si>
  <si>
    <t>100% of the room rate.</t>
  </si>
  <si>
    <t>Early check in before 15:00
*Hotel suggest: Park Hyatt Saigon
*Room type: Lam Son Suite - Double
*Room type: Park Room City View
*Square of room: 34sqm</t>
  </si>
  <si>
    <t>D</t>
  </si>
  <si>
    <t>DỊCH VỤ VIP AIRPORT</t>
  </si>
  <si>
    <t>Áp dụng đón khách tại lối ra của đường ống chiều đón</t>
  </si>
  <si>
    <t>khách</t>
  </si>
  <si>
    <t>lần</t>
  </si>
  <si>
    <t>Áp dụng trong trường hợp lịch đón bay không có sự thay đổi từ hàng không</t>
  </si>
  <si>
    <t>Áp dụng đón khách tại lối ra của đường ống chiều về</t>
  </si>
  <si>
    <t>Áp dụng 7 khách/ xe đối với chiều đi</t>
  </si>
  <si>
    <t>xe</t>
  </si>
  <si>
    <t>Áp dụng 7 khách/ xe đối với chiều về</t>
  </si>
  <si>
    <t>Chi phí nếu không sử dụng cũng không được hoàn trả, nếu có dịch vụ phải đặt cọc trước ít nhất 2 ngày để kịp sắp xếp dịch vụ</t>
  </si>
  <si>
    <t>Phí bảo lãnh với hãng</t>
  </si>
  <si>
    <t>H</t>
  </si>
  <si>
    <t xml:space="preserve">MEDICAL. </t>
  </si>
  <si>
    <t xml:space="preserve">Paramedics/ EMTs
*At least 2 people </t>
  </si>
  <si>
    <t>*Basic english communication
*Certificate: The degree of doctor medicine from University in Vietnam</t>
  </si>
  <si>
    <t>person</t>
  </si>
  <si>
    <r>
      <t xml:space="preserve">Limited: 7 hours (17:00 - 24:00), </t>
    </r>
    <r>
      <rPr>
        <sz val="10"/>
        <color rgb="FFFF0000"/>
        <rFont val="Times New Roman"/>
        <family val="1"/>
      </rPr>
      <t>bao gồm 1 bác sĩ + 1 điều dưỡng =&gt; vui lòng xác nhận và đặt cọc 70% trước 16:00 ngày mai (16.11)</t>
    </r>
  </si>
  <si>
    <t>I</t>
  </si>
  <si>
    <t>TOURGUIDE</t>
  </si>
  <si>
    <t>HDV trực ngày 10.12  (chưa bao gồm Tip)</t>
  </si>
  <si>
    <t xml:space="preserve">Limited: 24 hours </t>
  </si>
  <si>
    <t>HDV ngày 09.12 (chưa bao gồm Tip)</t>
  </si>
  <si>
    <t xml:space="preserve">Limited: 12 hours </t>
  </si>
  <si>
    <t>HDV ngày 11.12 (chưa bao gồm Tip)</t>
  </si>
  <si>
    <t>Accomodation for Guide</t>
  </si>
  <si>
    <t>TOTAL AMOUNT (INCLD VAT)</t>
  </si>
  <si>
    <t>TOTAL AMOUNT (EXCLD VAT)</t>
  </si>
  <si>
    <t>STT</t>
  </si>
  <si>
    <t>Dịch vụ</t>
  </si>
  <si>
    <t>Đơn vị tính</t>
  </si>
  <si>
    <t>Số lượng</t>
  </si>
  <si>
    <t>Số ngày</t>
  </si>
  <si>
    <t xml:space="preserve"> Đơn giá</t>
  </si>
  <si>
    <t xml:space="preserve"> Thành Tiền</t>
  </si>
  <si>
    <t xml:space="preserve">(VND) </t>
  </si>
  <si>
    <t>Xe D-car 9 chỗ</t>
  </si>
  <si>
    <t>01 xe ngày 09.12</t>
  </si>
  <si>
    <t>02 xe trực và phục vụ đoàn 24/24 ngày 10.12</t>
  </si>
  <si>
    <t>02 xe  ngày 11.12</t>
  </si>
  <si>
    <t>01 xe stanby 29 chỗ 02 ngày</t>
  </si>
  <si>
    <t>Khách sạn: Park Hyatt 5 *</t>
  </si>
  <si>
    <t>Park room city view (Double)
Ngày vào: 09.12
Ngày ra: 11.12</t>
  </si>
  <si>
    <t>đêm</t>
  </si>
  <si>
    <t>Lam Son Suite - Double (Double)
Ngày vào: 10.12
Ngày ra: 11.12</t>
  </si>
  <si>
    <t>Park room city view (Double)
Ngày vào: 10.12
Ngày ra: 11.12</t>
  </si>
  <si>
    <t>Nhận phòng sớm
Lam Son Suite - Double (Double)
Ngày vào: 09.12
Ngày ra: 10.12</t>
  </si>
  <si>
    <t>Nhận phòng sớm
Park room city view (Double)
Ngày vào: 09.12
Ngày ra: 10.12</t>
  </si>
  <si>
    <t>C</t>
  </si>
  <si>
    <t>Dịch vụ Fast Track đón tại ống lồng</t>
  </si>
  <si>
    <t>01 khách ngày 09.12.2022</t>
  </si>
  <si>
    <t>người</t>
  </si>
  <si>
    <t>13 người ngày 10.12.2022</t>
  </si>
  <si>
    <t>14 người ngày 11.12.2022</t>
  </si>
  <si>
    <r>
      <t xml:space="preserve">Phòng thay đồ: </t>
    </r>
    <r>
      <rPr>
        <sz val="10"/>
        <rFont val="Times New Roman"/>
        <family val="1"/>
      </rPr>
      <t>báo sau</t>
    </r>
  </si>
  <si>
    <t>E</t>
  </si>
  <si>
    <t>TOUR GUIDE</t>
  </si>
  <si>
    <t xml:space="preserve">Phòng ở 1 đêm 10.11 cho 02 HDV </t>
  </si>
  <si>
    <t>phòng</t>
  </si>
  <si>
    <t xml:space="preserve"> TỔNG DỊCH VỤ (ĐÃ BAO GỒM VAT) </t>
  </si>
  <si>
    <t xml:space="preserve"> TỔNG DỊCH VỤ (CHƯA BAO GỒM VAT) </t>
  </si>
  <si>
    <t>BẢNG QUYẾT TOAN CHI PHÍ</t>
  </si>
  <si>
    <t>Phát sinh 02 giờ xe</t>
  </si>
  <si>
    <t>Park room city view (Double)
Ngày vào: 08.12
Ngày ra: 09.12</t>
  </si>
  <si>
    <t>Lam Son Suite - Double (Double)
Ngày vào: 09.12
Ngày ra: 11.12</t>
  </si>
  <si>
    <t>Tổng chi phí</t>
  </si>
  <si>
    <t>gói</t>
  </si>
  <si>
    <t>Bác sĩ việt Nam</t>
  </si>
  <si>
    <t xml:space="preserve">HDV trực ngày 10.12 </t>
  </si>
  <si>
    <t xml:space="preserve">HDV ngày 09.12 </t>
  </si>
  <si>
    <t>HDV ngày 11.12</t>
  </si>
  <si>
    <t>F</t>
  </si>
  <si>
    <t>Phí Visa tại sân bay</t>
  </si>
  <si>
    <t xml:space="preserve"> TỔNG DỊCH VỤ (THEO HĐ)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</si>
</sst>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21">
    <font>
      <sz val="10"/>
      <name val="Arial"/>
      <charset val="134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8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FF0000"/>
      <name val="Times New Roman"/>
      <family val="1"/>
    </font>
    <font>
      <b/>
      <i/>
      <sz val="10"/>
      <name val="Times New Roman"/>
      <family val="1"/>
    </font>
    <font>
      <b/>
      <sz val="10"/>
      <color theme="0"/>
      <name val="Candara"/>
      <family val="2"/>
    </font>
    <font>
      <sz val="10"/>
      <name val="Candara"/>
      <family val="2"/>
    </font>
    <font>
      <sz val="10"/>
      <color theme="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43" fontId="1" fillId="0" borderId="0" xfId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5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164" fontId="1" fillId="0" borderId="0" xfId="1" applyNumberFormat="1" applyFont="1" applyAlignment="1">
      <alignment vertical="center"/>
    </xf>
    <xf numFmtId="0" fontId="3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1" fontId="7" fillId="6" borderId="1" xfId="0" applyNumberFormat="1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" fontId="1" fillId="7" borderId="1" xfId="1" applyNumberFormat="1" applyFont="1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center" vertical="center"/>
    </xf>
    <xf numFmtId="41" fontId="10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/>
    </xf>
    <xf numFmtId="0" fontId="12" fillId="0" borderId="4" xfId="0" quotePrefix="1" applyFont="1" applyBorder="1" applyAlignment="1">
      <alignment horizontal="center" vertical="center" wrapText="1"/>
    </xf>
    <xf numFmtId="43" fontId="8" fillId="6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1" fontId="15" fillId="6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7" fillId="6" borderId="5" xfId="0" applyFont="1" applyFill="1" applyBorder="1" applyAlignment="1">
      <alignment horizontal="center" vertical="center"/>
    </xf>
    <xf numFmtId="0" fontId="17" fillId="6" borderId="6" xfId="0" applyFont="1" applyFill="1" applyBorder="1">
      <alignment vertical="center"/>
    </xf>
    <xf numFmtId="0" fontId="17" fillId="6" borderId="6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64" fontId="7" fillId="6" borderId="6" xfId="1" applyNumberFormat="1" applyFont="1" applyFill="1" applyBorder="1" applyAlignment="1">
      <alignment horizontal="right" vertical="center"/>
    </xf>
    <xf numFmtId="164" fontId="1" fillId="0" borderId="0" xfId="1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9" fillId="0" borderId="4" xfId="2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7" borderId="1" xfId="1" applyNumberFormat="1" applyFont="1" applyFill="1" applyBorder="1" applyAlignment="1">
      <alignment horizontal="center" vertical="center"/>
    </xf>
    <xf numFmtId="164" fontId="11" fillId="7" borderId="1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9" fillId="8" borderId="1" xfId="0" applyFont="1" applyFill="1" applyBorder="1">
      <alignment vertical="center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8" fillId="8" borderId="1" xfId="0" applyFont="1" applyFill="1" applyBorder="1">
      <alignment vertical="center"/>
    </xf>
    <xf numFmtId="0" fontId="18" fillId="8" borderId="1" xfId="0" applyFont="1" applyFill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vertical="center" wrapText="1"/>
    </xf>
    <xf numFmtId="164" fontId="18" fillId="0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>
      <alignment vertical="center"/>
    </xf>
    <xf numFmtId="3" fontId="20" fillId="8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>
      <alignment vertical="center"/>
    </xf>
    <xf numFmtId="164" fontId="18" fillId="0" borderId="0" xfId="1" applyNumberFormat="1" applyFont="1">
      <alignment vertical="center"/>
    </xf>
    <xf numFmtId="164" fontId="19" fillId="9" borderId="0" xfId="0" applyNumberFormat="1" applyFont="1" applyFill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9" fillId="0" borderId="2" xfId="2" applyNumberFormat="1" applyFont="1" applyBorder="1" applyAlignment="1">
      <alignment horizontal="center" vertical="center" wrapText="1"/>
    </xf>
    <xf numFmtId="165" fontId="9" fillId="0" borderId="4" xfId="2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0" fontId="12" fillId="0" borderId="3" xfId="0" quotePrefix="1" applyFont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38580</xdr:colOff>
      <xdr:row>0</xdr:row>
      <xdr:rowOff>43102</xdr:rowOff>
    </xdr:from>
    <xdr:ext cx="4844697" cy="71183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8130" y="43102"/>
          <a:ext cx="4844697" cy="7118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6"/>
  <sheetViews>
    <sheetView showGridLines="0" tabSelected="1" topLeftCell="B1" zoomScale="85" zoomScaleNormal="85" zoomScalePageLayoutView="170" workbookViewId="0">
      <pane xSplit="1" ySplit="8" topLeftCell="C29" activePane="bottomRight" state="frozen"/>
      <selection pane="bottomRight" activeCell="J35" sqref="J35"/>
      <selection pane="bottomLeft" activeCell="B14" sqref="B14"/>
      <selection pane="topRight" activeCell="C1" sqref="C1"/>
    </sheetView>
  </sheetViews>
  <sheetFormatPr defaultColWidth="10.85546875" defaultRowHeight="12.75"/>
  <cols>
    <col min="1" max="1" width="3.140625" style="2" customWidth="1"/>
    <col min="2" max="2" width="6.42578125" style="1" customWidth="1"/>
    <col min="3" max="3" width="39" style="2" customWidth="1"/>
    <col min="4" max="4" width="37.28515625" style="3" customWidth="1"/>
    <col min="5" max="5" width="10.7109375" style="2" customWidth="1"/>
    <col min="6" max="6" width="9.85546875" style="1" customWidth="1"/>
    <col min="7" max="7" width="10.7109375" style="2" customWidth="1"/>
    <col min="8" max="8" width="9.85546875" style="1" customWidth="1"/>
    <col min="9" max="9" width="12.7109375" style="64" customWidth="1"/>
    <col min="10" max="10" width="13.42578125" style="64" customWidth="1"/>
    <col min="11" max="11" width="34" style="57" customWidth="1"/>
    <col min="12" max="12" width="21" style="2" customWidth="1"/>
    <col min="13" max="16384" width="10.85546875" style="2"/>
  </cols>
  <sheetData>
    <row r="1" spans="2:12" hidden="1"/>
    <row r="2" spans="2:12" hidden="1"/>
    <row r="3" spans="2:12" hidden="1"/>
    <row r="4" spans="2:12" hidden="1">
      <c r="E4" s="1"/>
      <c r="F4" s="4"/>
      <c r="G4" s="1"/>
      <c r="H4" s="4"/>
      <c r="I4" s="5"/>
      <c r="J4" s="5"/>
      <c r="K4" s="6"/>
    </row>
    <row r="5" spans="2:12" ht="45" hidden="1" customHeight="1">
      <c r="B5" s="7"/>
      <c r="C5" s="108" t="s">
        <v>0</v>
      </c>
      <c r="D5" s="108"/>
      <c r="E5" s="108"/>
      <c r="F5" s="108"/>
      <c r="G5" s="108"/>
      <c r="H5" s="108"/>
      <c r="I5" s="108"/>
      <c r="J5" s="108"/>
      <c r="K5" s="108"/>
    </row>
    <row r="6" spans="2:12" hidden="1">
      <c r="B6" s="8"/>
      <c r="C6" s="8"/>
      <c r="D6" s="9"/>
      <c r="E6" s="10"/>
      <c r="F6" s="10"/>
      <c r="G6" s="10"/>
      <c r="H6" s="10"/>
      <c r="I6" s="11"/>
      <c r="J6" s="11"/>
      <c r="K6" s="12">
        <f ca="1">TODAY()</f>
        <v>44931</v>
      </c>
    </row>
    <row r="7" spans="2:12" ht="12" hidden="1" customHeight="1">
      <c r="B7" s="10"/>
      <c r="C7" s="13"/>
      <c r="D7" s="14"/>
      <c r="F7" s="2"/>
      <c r="H7" s="2"/>
      <c r="I7" s="15"/>
      <c r="J7" s="15"/>
      <c r="K7" s="16"/>
    </row>
    <row r="8" spans="2:12" ht="25.5">
      <c r="B8" s="17" t="s">
        <v>1</v>
      </c>
      <c r="C8" s="17" t="s">
        <v>2</v>
      </c>
      <c r="D8" s="18" t="s">
        <v>3</v>
      </c>
      <c r="E8" s="19" t="s">
        <v>4</v>
      </c>
      <c r="F8" s="20" t="s">
        <v>5</v>
      </c>
      <c r="G8" s="21" t="s">
        <v>6</v>
      </c>
      <c r="H8" s="22" t="s">
        <v>7</v>
      </c>
      <c r="I8" s="23" t="s">
        <v>8</v>
      </c>
      <c r="J8" s="23" t="s">
        <v>9</v>
      </c>
      <c r="K8" s="24" t="s">
        <v>10</v>
      </c>
    </row>
    <row r="9" spans="2:12">
      <c r="B9" s="25" t="s">
        <v>11</v>
      </c>
      <c r="C9" s="26" t="s">
        <v>12</v>
      </c>
      <c r="D9" s="27"/>
      <c r="E9" s="25"/>
      <c r="F9" s="28"/>
      <c r="G9" s="25"/>
      <c r="H9" s="28"/>
      <c r="I9" s="29"/>
      <c r="J9" s="29"/>
      <c r="K9" s="30"/>
    </row>
    <row r="10" spans="2:12" ht="69" customHeight="1">
      <c r="B10" s="101">
        <v>1</v>
      </c>
      <c r="C10" s="105" t="s">
        <v>13</v>
      </c>
      <c r="D10" s="105" t="s">
        <v>14</v>
      </c>
      <c r="E10" s="33" t="s">
        <v>15</v>
      </c>
      <c r="F10" s="34">
        <v>3</v>
      </c>
      <c r="G10" s="33" t="s">
        <v>16</v>
      </c>
      <c r="H10" s="34">
        <v>2</v>
      </c>
      <c r="I10" s="35">
        <v>6000000</v>
      </c>
      <c r="J10" s="35">
        <f>F10*H10*I10</f>
        <v>36000000</v>
      </c>
      <c r="K10" s="103" t="s">
        <v>17</v>
      </c>
      <c r="L10" s="3"/>
    </row>
    <row r="11" spans="2:12" ht="82.5" customHeight="1">
      <c r="B11" s="102"/>
      <c r="C11" s="106"/>
      <c r="D11" s="106"/>
      <c r="E11" s="33" t="s">
        <v>15</v>
      </c>
      <c r="F11" s="34">
        <v>1</v>
      </c>
      <c r="G11" s="33" t="s">
        <v>16</v>
      </c>
      <c r="H11" s="34">
        <v>3</v>
      </c>
      <c r="I11" s="35">
        <v>6000000</v>
      </c>
      <c r="J11" s="35">
        <f>F11*H11*I11</f>
        <v>18000000</v>
      </c>
      <c r="K11" s="104"/>
      <c r="L11" s="3"/>
    </row>
    <row r="12" spans="2:12" ht="82.5" customHeight="1">
      <c r="B12" s="65"/>
      <c r="C12" s="107"/>
      <c r="D12" s="107"/>
      <c r="E12" s="33" t="s">
        <v>15</v>
      </c>
      <c r="F12" s="68">
        <v>2</v>
      </c>
      <c r="G12" s="67" t="s">
        <v>16</v>
      </c>
      <c r="H12" s="68">
        <v>1</v>
      </c>
      <c r="I12" s="69">
        <v>6000000</v>
      </c>
      <c r="J12" s="69">
        <f>F12*H12*I12</f>
        <v>12000000</v>
      </c>
      <c r="K12" s="66"/>
      <c r="L12" s="3"/>
    </row>
    <row r="13" spans="2:12" ht="13.5">
      <c r="B13" s="25" t="s">
        <v>18</v>
      </c>
      <c r="C13" s="26" t="s">
        <v>19</v>
      </c>
      <c r="D13" s="27"/>
      <c r="E13" s="25"/>
      <c r="F13" s="28"/>
      <c r="G13" s="25"/>
      <c r="H13" s="28"/>
      <c r="I13" s="29"/>
      <c r="J13" s="29"/>
      <c r="K13" s="36"/>
    </row>
    <row r="14" spans="2:12" ht="79.900000000000006" customHeight="1">
      <c r="B14" s="31">
        <v>1</v>
      </c>
      <c r="C14" s="32" t="s">
        <v>20</v>
      </c>
      <c r="D14" s="37" t="s">
        <v>21</v>
      </c>
      <c r="E14" s="33" t="s">
        <v>22</v>
      </c>
      <c r="F14" s="38">
        <v>2</v>
      </c>
      <c r="G14" s="33" t="s">
        <v>23</v>
      </c>
      <c r="H14" s="38">
        <v>1</v>
      </c>
      <c r="I14" s="39">
        <v>9960000</v>
      </c>
      <c r="J14" s="39">
        <f t="shared" ref="J14:J20" si="0">I14*H14*F14</f>
        <v>19920000</v>
      </c>
      <c r="K14" s="109" t="s">
        <v>24</v>
      </c>
    </row>
    <row r="15" spans="2:12" ht="96" customHeight="1">
      <c r="B15" s="31">
        <v>2</v>
      </c>
      <c r="C15" s="32" t="s">
        <v>25</v>
      </c>
      <c r="D15" s="37" t="s">
        <v>26</v>
      </c>
      <c r="E15" s="33" t="s">
        <v>22</v>
      </c>
      <c r="F15" s="38">
        <v>1</v>
      </c>
      <c r="G15" s="33" t="s">
        <v>23</v>
      </c>
      <c r="H15" s="38">
        <v>2</v>
      </c>
      <c r="I15" s="39">
        <v>17600000</v>
      </c>
      <c r="J15" s="39">
        <f t="shared" si="0"/>
        <v>35200000</v>
      </c>
      <c r="K15" s="110"/>
    </row>
    <row r="16" spans="2:12" ht="82.15" customHeight="1">
      <c r="B16" s="31">
        <v>3</v>
      </c>
      <c r="C16" s="32" t="s">
        <v>27</v>
      </c>
      <c r="D16" s="37" t="s">
        <v>28</v>
      </c>
      <c r="E16" s="33" t="s">
        <v>22</v>
      </c>
      <c r="F16" s="38">
        <v>1</v>
      </c>
      <c r="G16" s="33" t="s">
        <v>23</v>
      </c>
      <c r="H16" s="38">
        <v>11</v>
      </c>
      <c r="I16" s="39">
        <v>9960000</v>
      </c>
      <c r="J16" s="39">
        <f t="shared" si="0"/>
        <v>109560000</v>
      </c>
      <c r="K16" s="110"/>
    </row>
    <row r="17" spans="2:11" ht="103.15" customHeight="1">
      <c r="B17" s="31"/>
      <c r="C17" s="32"/>
      <c r="D17" s="37" t="s">
        <v>29</v>
      </c>
      <c r="E17" s="33" t="s">
        <v>22</v>
      </c>
      <c r="F17" s="38">
        <v>1</v>
      </c>
      <c r="G17" s="33" t="s">
        <v>30</v>
      </c>
      <c r="H17" s="38">
        <v>12</v>
      </c>
      <c r="I17" s="39">
        <f>I14/2</f>
        <v>4980000</v>
      </c>
      <c r="J17" s="39">
        <f t="shared" si="0"/>
        <v>59760000</v>
      </c>
      <c r="K17" s="110"/>
    </row>
    <row r="18" spans="2:11" ht="88.9" customHeight="1">
      <c r="B18" s="31"/>
      <c r="C18" s="32"/>
      <c r="D18" s="37" t="s">
        <v>31</v>
      </c>
      <c r="E18" s="33" t="s">
        <v>22</v>
      </c>
      <c r="F18" s="38">
        <v>1</v>
      </c>
      <c r="G18" s="33" t="s">
        <v>30</v>
      </c>
      <c r="H18" s="38">
        <v>2</v>
      </c>
      <c r="I18" s="39">
        <f>I15/2</f>
        <v>8800000</v>
      </c>
      <c r="J18" s="39">
        <f t="shared" si="0"/>
        <v>17600000</v>
      </c>
      <c r="K18" s="111"/>
    </row>
    <row r="19" spans="2:11" ht="88.9" customHeight="1">
      <c r="B19" s="31"/>
      <c r="C19" s="32"/>
      <c r="D19" s="37" t="s">
        <v>32</v>
      </c>
      <c r="E19" s="33" t="s">
        <v>22</v>
      </c>
      <c r="F19" s="38">
        <v>1</v>
      </c>
      <c r="G19" s="33" t="s">
        <v>23</v>
      </c>
      <c r="H19" s="38">
        <v>2</v>
      </c>
      <c r="I19" s="39">
        <v>17600000</v>
      </c>
      <c r="J19" s="39">
        <f t="shared" si="0"/>
        <v>35200000</v>
      </c>
      <c r="K19" s="40" t="s">
        <v>33</v>
      </c>
    </row>
    <row r="20" spans="2:11" ht="88.9" customHeight="1">
      <c r="B20" s="31"/>
      <c r="C20" s="32"/>
      <c r="D20" s="37" t="s">
        <v>34</v>
      </c>
      <c r="E20" s="33" t="s">
        <v>22</v>
      </c>
      <c r="F20" s="38">
        <v>1</v>
      </c>
      <c r="G20" s="33" t="s">
        <v>23</v>
      </c>
      <c r="H20" s="38">
        <v>12</v>
      </c>
      <c r="I20" s="39">
        <v>9960000</v>
      </c>
      <c r="J20" s="39">
        <f>I20*H20*F20</f>
        <v>119520000</v>
      </c>
      <c r="K20" s="40" t="s">
        <v>33</v>
      </c>
    </row>
    <row r="21" spans="2:11">
      <c r="B21" s="25" t="s">
        <v>35</v>
      </c>
      <c r="C21" s="26" t="s">
        <v>36</v>
      </c>
      <c r="D21" s="27"/>
      <c r="E21" s="25"/>
      <c r="F21" s="28"/>
      <c r="G21" s="25"/>
      <c r="H21" s="28"/>
      <c r="I21" s="29"/>
      <c r="J21" s="29"/>
      <c r="K21" s="41"/>
    </row>
    <row r="22" spans="2:11" s="16" customFormat="1" ht="20.25" customHeight="1">
      <c r="B22" s="112"/>
      <c r="C22" s="115"/>
      <c r="D22" s="118" t="s">
        <v>37</v>
      </c>
      <c r="E22" s="42" t="s">
        <v>38</v>
      </c>
      <c r="F22" s="42">
        <v>1</v>
      </c>
      <c r="G22" s="42" t="s">
        <v>39</v>
      </c>
      <c r="H22" s="42">
        <v>1</v>
      </c>
      <c r="I22" s="43">
        <v>3000000</v>
      </c>
      <c r="J22" s="39">
        <f t="shared" ref="J22:J27" si="1">I22*H22*F22</f>
        <v>3000000</v>
      </c>
      <c r="K22" s="118" t="s">
        <v>40</v>
      </c>
    </row>
    <row r="23" spans="2:11" s="16" customFormat="1" ht="12.75" customHeight="1">
      <c r="B23" s="113"/>
      <c r="C23" s="116"/>
      <c r="D23" s="119"/>
      <c r="E23" s="42" t="s">
        <v>38</v>
      </c>
      <c r="F23" s="42">
        <v>13</v>
      </c>
      <c r="G23" s="42" t="s">
        <v>39</v>
      </c>
      <c r="H23" s="42">
        <v>1</v>
      </c>
      <c r="I23" s="43">
        <v>2500000</v>
      </c>
      <c r="J23" s="39">
        <f t="shared" si="1"/>
        <v>32500000</v>
      </c>
      <c r="K23" s="120"/>
    </row>
    <row r="24" spans="2:11" s="16" customFormat="1" ht="23.25" customHeight="1">
      <c r="B24" s="113"/>
      <c r="C24" s="116"/>
      <c r="D24" s="45" t="s">
        <v>41</v>
      </c>
      <c r="E24" s="42" t="s">
        <v>38</v>
      </c>
      <c r="F24" s="42">
        <v>14</v>
      </c>
      <c r="G24" s="42" t="s">
        <v>39</v>
      </c>
      <c r="H24" s="42">
        <v>1</v>
      </c>
      <c r="I24" s="43">
        <v>2500000</v>
      </c>
      <c r="J24" s="39">
        <f t="shared" si="1"/>
        <v>35000000</v>
      </c>
      <c r="K24" s="70"/>
    </row>
    <row r="25" spans="2:11" s="16" customFormat="1" ht="12.75" customHeight="1">
      <c r="B25" s="113"/>
      <c r="C25" s="116"/>
      <c r="D25" s="44" t="s">
        <v>42</v>
      </c>
      <c r="E25" s="42" t="s">
        <v>43</v>
      </c>
      <c r="F25" s="42">
        <v>3</v>
      </c>
      <c r="G25" s="42" t="s">
        <v>39</v>
      </c>
      <c r="H25" s="42">
        <v>1</v>
      </c>
      <c r="I25" s="43">
        <v>5000000</v>
      </c>
      <c r="J25" s="39">
        <f t="shared" si="1"/>
        <v>15000000</v>
      </c>
      <c r="K25" s="70"/>
    </row>
    <row r="26" spans="2:11" s="16" customFormat="1" ht="47.25" customHeight="1">
      <c r="B26" s="113"/>
      <c r="C26" s="116"/>
      <c r="D26" s="44" t="s">
        <v>44</v>
      </c>
      <c r="E26" s="42" t="s">
        <v>43</v>
      </c>
      <c r="F26" s="42">
        <v>2</v>
      </c>
      <c r="G26" s="42" t="s">
        <v>39</v>
      </c>
      <c r="H26" s="42">
        <v>1</v>
      </c>
      <c r="I26" s="43">
        <v>5000000</v>
      </c>
      <c r="J26" s="39">
        <f t="shared" si="1"/>
        <v>10000000</v>
      </c>
      <c r="K26" s="120" t="s">
        <v>45</v>
      </c>
    </row>
    <row r="27" spans="2:11" s="16" customFormat="1" ht="25.5" customHeight="1">
      <c r="B27" s="114"/>
      <c r="C27" s="117"/>
      <c r="D27" s="46" t="s">
        <v>46</v>
      </c>
      <c r="E27" s="42" t="s">
        <v>38</v>
      </c>
      <c r="F27" s="42">
        <v>14</v>
      </c>
      <c r="G27" s="42" t="s">
        <v>39</v>
      </c>
      <c r="H27" s="42">
        <v>2</v>
      </c>
      <c r="I27" s="43">
        <v>300000</v>
      </c>
      <c r="J27" s="43">
        <f t="shared" si="1"/>
        <v>8400000</v>
      </c>
      <c r="K27" s="119"/>
    </row>
    <row r="28" spans="2:11" customFormat="1">
      <c r="B28" s="47" t="s">
        <v>47</v>
      </c>
      <c r="C28" s="48" t="s">
        <v>48</v>
      </c>
      <c r="D28" s="49"/>
      <c r="E28" s="47"/>
      <c r="F28" s="50"/>
      <c r="G28" s="47"/>
      <c r="H28" s="50"/>
      <c r="I28" s="47"/>
      <c r="J28" s="47"/>
      <c r="K28" s="47"/>
    </row>
    <row r="29" spans="2:11" customFormat="1" ht="51">
      <c r="B29" s="51">
        <f>B23+1</f>
        <v>1</v>
      </c>
      <c r="C29" s="52" t="s">
        <v>49</v>
      </c>
      <c r="D29" s="52" t="s">
        <v>50</v>
      </c>
      <c r="E29" s="51" t="s">
        <v>51</v>
      </c>
      <c r="F29" s="51">
        <v>1</v>
      </c>
      <c r="G29" s="51" t="s">
        <v>16</v>
      </c>
      <c r="H29" s="51">
        <v>1</v>
      </c>
      <c r="I29" s="43">
        <v>35000000</v>
      </c>
      <c r="J29" s="43">
        <f t="shared" ref="J29" si="2">I29*H29*F29</f>
        <v>35000000</v>
      </c>
      <c r="K29" s="46" t="s">
        <v>52</v>
      </c>
    </row>
    <row r="30" spans="2:11" customFormat="1">
      <c r="B30" s="47" t="s">
        <v>53</v>
      </c>
      <c r="C30" s="48" t="s">
        <v>54</v>
      </c>
      <c r="D30" s="49"/>
      <c r="E30" s="47"/>
      <c r="F30" s="50"/>
      <c r="G30" s="47"/>
      <c r="H30" s="50"/>
      <c r="I30" s="47"/>
      <c r="J30" s="47"/>
      <c r="K30" s="47"/>
    </row>
    <row r="31" spans="2:11" customFormat="1">
      <c r="B31" s="51">
        <f>B27+1</f>
        <v>1</v>
      </c>
      <c r="C31" s="52"/>
      <c r="D31" s="52" t="s">
        <v>55</v>
      </c>
      <c r="E31" s="51" t="s">
        <v>51</v>
      </c>
      <c r="F31" s="51">
        <v>2</v>
      </c>
      <c r="G31" s="51" t="s">
        <v>16</v>
      </c>
      <c r="H31" s="51">
        <v>1</v>
      </c>
      <c r="I31" s="43">
        <v>4000000</v>
      </c>
      <c r="J31" s="43">
        <f t="shared" ref="J31:J34" si="3">I31*H31*F31</f>
        <v>8000000</v>
      </c>
      <c r="K31" s="46" t="s">
        <v>56</v>
      </c>
    </row>
    <row r="32" spans="2:11" customFormat="1">
      <c r="B32" s="53"/>
      <c r="C32" s="54"/>
      <c r="D32" s="54" t="s">
        <v>57</v>
      </c>
      <c r="E32" s="51" t="s">
        <v>51</v>
      </c>
      <c r="F32" s="51">
        <v>1</v>
      </c>
      <c r="G32" s="51" t="s">
        <v>16</v>
      </c>
      <c r="H32" s="51">
        <v>1</v>
      </c>
      <c r="I32" s="43">
        <v>2000000</v>
      </c>
      <c r="J32" s="43">
        <f t="shared" ref="J32" si="4">I32*H32*F32</f>
        <v>2000000</v>
      </c>
      <c r="K32" s="46" t="s">
        <v>58</v>
      </c>
    </row>
    <row r="33" spans="2:11" customFormat="1">
      <c r="B33" s="53"/>
      <c r="C33" s="54"/>
      <c r="D33" s="54" t="s">
        <v>59</v>
      </c>
      <c r="E33" s="51" t="s">
        <v>51</v>
      </c>
      <c r="F33" s="51">
        <v>2</v>
      </c>
      <c r="G33" s="51" t="s">
        <v>16</v>
      </c>
      <c r="H33" s="51">
        <v>1</v>
      </c>
      <c r="I33" s="43">
        <v>2000000</v>
      </c>
      <c r="J33" s="43">
        <f t="shared" ref="J33" si="5">I33*H33*F33</f>
        <v>4000000</v>
      </c>
      <c r="K33" s="57"/>
    </row>
    <row r="34" spans="2:11" customFormat="1">
      <c r="B34" s="53"/>
      <c r="C34" s="54"/>
      <c r="D34" s="54" t="s">
        <v>60</v>
      </c>
      <c r="E34" s="55" t="s">
        <v>30</v>
      </c>
      <c r="F34" s="55">
        <v>1</v>
      </c>
      <c r="G34" s="51" t="s">
        <v>16</v>
      </c>
      <c r="H34" s="55">
        <v>1</v>
      </c>
      <c r="I34" s="56">
        <v>1500000</v>
      </c>
      <c r="J34" s="43">
        <f t="shared" si="3"/>
        <v>1500000</v>
      </c>
      <c r="K34" s="57"/>
    </row>
    <row r="35" spans="2:11" ht="19.899999999999999" customHeight="1">
      <c r="B35" s="58"/>
      <c r="C35" s="59"/>
      <c r="D35" s="60"/>
      <c r="E35" s="59"/>
      <c r="F35" s="61"/>
      <c r="G35" s="59"/>
      <c r="H35" s="62"/>
      <c r="I35" s="63" t="s">
        <v>61</v>
      </c>
      <c r="J35" s="29">
        <f>SUM(J9:J34)</f>
        <v>617160000</v>
      </c>
    </row>
    <row r="36" spans="2:11" ht="19.899999999999999" customHeight="1">
      <c r="B36" s="58"/>
      <c r="C36" s="59"/>
      <c r="D36" s="60"/>
      <c r="E36" s="59"/>
      <c r="F36" s="61"/>
      <c r="G36" s="59"/>
      <c r="H36" s="62"/>
      <c r="I36" s="63" t="s">
        <v>62</v>
      </c>
      <c r="J36" s="29">
        <f>$J$35/1.08</f>
        <v>571444444.44444442</v>
      </c>
    </row>
  </sheetData>
  <mergeCells count="11">
    <mergeCell ref="K14:K18"/>
    <mergeCell ref="B22:B27"/>
    <mergeCell ref="C22:C27"/>
    <mergeCell ref="D22:D23"/>
    <mergeCell ref="K22:K23"/>
    <mergeCell ref="K26:K27"/>
    <mergeCell ref="B10:B11"/>
    <mergeCell ref="K10:K11"/>
    <mergeCell ref="C10:C12"/>
    <mergeCell ref="D10:D12"/>
    <mergeCell ref="C5:K5"/>
  </mergeCells>
  <pageMargins left="0.25" right="0.25" top="0.75" bottom="0.75" header="0.3" footer="0.3"/>
  <pageSetup paperSize="9" scale="6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6"/>
  <sheetViews>
    <sheetView topLeftCell="A14" zoomScale="85" zoomScaleNormal="85" workbookViewId="0">
      <selection activeCell="G25" sqref="G25"/>
    </sheetView>
  </sheetViews>
  <sheetFormatPr defaultRowHeight="12.75"/>
  <cols>
    <col min="1" max="1" width="4.140625" customWidth="1"/>
    <col min="2" max="2" width="26.7109375" customWidth="1"/>
    <col min="3" max="3" width="7.5703125" customWidth="1"/>
    <col min="4" max="4" width="7.7109375" customWidth="1"/>
    <col min="5" max="5" width="7.28515625" customWidth="1"/>
    <col min="6" max="6" width="13.7109375" customWidth="1"/>
    <col min="7" max="7" width="14.140625" customWidth="1"/>
    <col min="8" max="8" width="19.5703125" customWidth="1"/>
  </cols>
  <sheetData>
    <row r="2" spans="1:7">
      <c r="A2" s="126" t="s">
        <v>63</v>
      </c>
      <c r="B2" s="126" t="s">
        <v>64</v>
      </c>
      <c r="C2" s="122" t="s">
        <v>65</v>
      </c>
      <c r="D2" s="122" t="s">
        <v>66</v>
      </c>
      <c r="E2" s="126" t="s">
        <v>67</v>
      </c>
      <c r="F2" s="81" t="s">
        <v>68</v>
      </c>
      <c r="G2" s="81" t="s">
        <v>69</v>
      </c>
    </row>
    <row r="3" spans="1:7">
      <c r="A3" s="126"/>
      <c r="B3" s="126"/>
      <c r="C3" s="122"/>
      <c r="D3" s="122"/>
      <c r="E3" s="126"/>
      <c r="F3" s="81" t="s">
        <v>70</v>
      </c>
      <c r="G3" s="81" t="s">
        <v>70</v>
      </c>
    </row>
    <row r="4" spans="1:7">
      <c r="A4" s="75" t="s">
        <v>11</v>
      </c>
      <c r="B4" s="76" t="s">
        <v>71</v>
      </c>
      <c r="C4" s="75"/>
      <c r="D4" s="75"/>
      <c r="E4" s="75"/>
      <c r="F4" s="75"/>
      <c r="G4" s="75"/>
    </row>
    <row r="5" spans="1:7">
      <c r="A5" s="72">
        <v>1</v>
      </c>
      <c r="B5" s="77" t="s">
        <v>72</v>
      </c>
      <c r="C5" s="73" t="s">
        <v>43</v>
      </c>
      <c r="D5" s="72">
        <v>1</v>
      </c>
      <c r="E5" s="72">
        <v>1</v>
      </c>
      <c r="F5" s="74">
        <v>6000000</v>
      </c>
      <c r="G5" s="74">
        <f>D5*E5*F5</f>
        <v>6000000</v>
      </c>
    </row>
    <row r="6" spans="1:7">
      <c r="A6" s="72">
        <v>2</v>
      </c>
      <c r="B6" s="77" t="s">
        <v>73</v>
      </c>
      <c r="C6" s="73" t="s">
        <v>43</v>
      </c>
      <c r="D6" s="72">
        <v>2</v>
      </c>
      <c r="E6" s="72">
        <v>1</v>
      </c>
      <c r="F6" s="74">
        <v>12000000</v>
      </c>
      <c r="G6" s="74">
        <f>D6*E6*F6</f>
        <v>24000000</v>
      </c>
    </row>
    <row r="7" spans="1:7">
      <c r="A7" s="72"/>
      <c r="B7" s="77" t="s">
        <v>74</v>
      </c>
      <c r="C7" s="73" t="s">
        <v>43</v>
      </c>
      <c r="D7" s="72">
        <v>2</v>
      </c>
      <c r="E7" s="72">
        <v>1</v>
      </c>
      <c r="F7" s="74">
        <v>6000000</v>
      </c>
      <c r="G7" s="74">
        <f>D7*E7*F7</f>
        <v>12000000</v>
      </c>
    </row>
    <row r="8" spans="1:7" ht="15">
      <c r="A8" s="78">
        <v>3</v>
      </c>
      <c r="B8" s="79" t="s">
        <v>75</v>
      </c>
      <c r="C8" s="73" t="s">
        <v>43</v>
      </c>
      <c r="D8" s="72">
        <v>1</v>
      </c>
      <c r="E8" s="72">
        <v>2</v>
      </c>
      <c r="F8" s="74">
        <v>3000000</v>
      </c>
      <c r="G8" s="74">
        <f>D8*E8*F8</f>
        <v>6000000</v>
      </c>
    </row>
    <row r="9" spans="1:7">
      <c r="A9" s="75" t="s">
        <v>18</v>
      </c>
      <c r="B9" s="76" t="s">
        <v>76</v>
      </c>
      <c r="C9" s="75"/>
      <c r="D9" s="75"/>
      <c r="E9" s="75"/>
      <c r="F9" s="75"/>
      <c r="G9" s="75"/>
    </row>
    <row r="10" spans="1:7" ht="38.25">
      <c r="A10" s="72">
        <v>1</v>
      </c>
      <c r="B10" s="71" t="s">
        <v>77</v>
      </c>
      <c r="C10" s="73" t="s">
        <v>78</v>
      </c>
      <c r="D10" s="72">
        <v>1</v>
      </c>
      <c r="E10" s="72">
        <v>2</v>
      </c>
      <c r="F10" s="39">
        <v>9960000</v>
      </c>
      <c r="G10" s="74">
        <f>D10*E10*F10</f>
        <v>19920000</v>
      </c>
    </row>
    <row r="11" spans="1:7" ht="38.25">
      <c r="A11" s="72">
        <v>2</v>
      </c>
      <c r="B11" s="71" t="s">
        <v>79</v>
      </c>
      <c r="C11" s="73" t="s">
        <v>78</v>
      </c>
      <c r="D11" s="72">
        <v>2</v>
      </c>
      <c r="E11" s="72">
        <v>1</v>
      </c>
      <c r="F11" s="74">
        <v>17600000</v>
      </c>
      <c r="G11" s="74">
        <v>35200000</v>
      </c>
    </row>
    <row r="12" spans="1:7" ht="38.25">
      <c r="A12" s="72">
        <v>3</v>
      </c>
      <c r="B12" s="71" t="s">
        <v>80</v>
      </c>
      <c r="C12" s="73" t="s">
        <v>78</v>
      </c>
      <c r="D12" s="72">
        <v>11</v>
      </c>
      <c r="E12" s="72">
        <v>1</v>
      </c>
      <c r="F12" s="39">
        <v>9960000</v>
      </c>
      <c r="G12" s="74">
        <f>D12*E12*F12</f>
        <v>109560000</v>
      </c>
    </row>
    <row r="13" spans="1:7" ht="51">
      <c r="A13" s="72">
        <v>4</v>
      </c>
      <c r="B13" s="71" t="s">
        <v>81</v>
      </c>
      <c r="C13" s="73" t="s">
        <v>78</v>
      </c>
      <c r="D13" s="72">
        <v>2</v>
      </c>
      <c r="E13" s="72">
        <v>1</v>
      </c>
      <c r="F13" s="74">
        <v>17600000</v>
      </c>
      <c r="G13" s="74">
        <v>35200000</v>
      </c>
    </row>
    <row r="14" spans="1:7" ht="51">
      <c r="A14" s="72">
        <v>5</v>
      </c>
      <c r="B14" s="71" t="s">
        <v>82</v>
      </c>
      <c r="C14" s="73" t="s">
        <v>78</v>
      </c>
      <c r="D14" s="72">
        <v>11</v>
      </c>
      <c r="E14" s="72">
        <v>1</v>
      </c>
      <c r="F14" s="39">
        <v>9960000</v>
      </c>
      <c r="G14" s="74">
        <f>D14*E14*F14</f>
        <v>109560000</v>
      </c>
    </row>
    <row r="15" spans="1:7">
      <c r="A15" s="75" t="s">
        <v>83</v>
      </c>
      <c r="B15" s="76" t="s">
        <v>84</v>
      </c>
      <c r="C15" s="77"/>
      <c r="D15" s="72"/>
      <c r="E15" s="72"/>
      <c r="F15" s="72"/>
      <c r="G15" s="72"/>
    </row>
    <row r="16" spans="1:7">
      <c r="A16" s="72">
        <v>1</v>
      </c>
      <c r="B16" s="77" t="s">
        <v>85</v>
      </c>
      <c r="C16" s="77" t="s">
        <v>86</v>
      </c>
      <c r="D16" s="72">
        <v>1</v>
      </c>
      <c r="E16" s="72">
        <v>1</v>
      </c>
      <c r="F16" s="43">
        <v>3000000</v>
      </c>
      <c r="G16" s="74">
        <f>D16*E16*F16</f>
        <v>3000000</v>
      </c>
    </row>
    <row r="17" spans="1:7">
      <c r="A17" s="72">
        <v>2</v>
      </c>
      <c r="B17" s="77" t="s">
        <v>87</v>
      </c>
      <c r="C17" s="77" t="s">
        <v>86</v>
      </c>
      <c r="D17" s="72">
        <v>13</v>
      </c>
      <c r="E17" s="72">
        <v>1</v>
      </c>
      <c r="F17" s="43">
        <v>2500000</v>
      </c>
      <c r="G17" s="74">
        <f>D17*E17*F17</f>
        <v>32500000</v>
      </c>
    </row>
    <row r="18" spans="1:7">
      <c r="A18" s="72">
        <v>3</v>
      </c>
      <c r="B18" s="77" t="s">
        <v>88</v>
      </c>
      <c r="C18" s="77" t="s">
        <v>86</v>
      </c>
      <c r="D18" s="72">
        <v>14</v>
      </c>
      <c r="E18" s="72">
        <v>1</v>
      </c>
      <c r="F18" s="43">
        <v>2500000</v>
      </c>
      <c r="G18" s="74">
        <f>D18*E18*F18</f>
        <v>35000000</v>
      </c>
    </row>
    <row r="19" spans="1:7">
      <c r="A19" s="75" t="s">
        <v>35</v>
      </c>
      <c r="B19" s="76" t="s">
        <v>89</v>
      </c>
      <c r="C19" s="77"/>
      <c r="D19" s="72"/>
      <c r="E19" s="72"/>
      <c r="F19" s="72"/>
      <c r="G19" s="72"/>
    </row>
    <row r="20" spans="1:7">
      <c r="A20" s="75" t="s">
        <v>90</v>
      </c>
      <c r="B20" s="76" t="s">
        <v>91</v>
      </c>
      <c r="C20" s="75"/>
      <c r="D20" s="75"/>
      <c r="E20" s="75"/>
      <c r="F20" s="75"/>
      <c r="G20" s="75"/>
    </row>
    <row r="21" spans="1:7" s="2" customFormat="1" ht="25.5">
      <c r="A21" s="72">
        <v>1</v>
      </c>
      <c r="B21" s="32" t="s">
        <v>55</v>
      </c>
      <c r="C21" s="77" t="s">
        <v>86</v>
      </c>
      <c r="D21" s="72">
        <v>2</v>
      </c>
      <c r="E21" s="72">
        <v>1</v>
      </c>
      <c r="F21" s="43">
        <v>4000000</v>
      </c>
      <c r="G21" s="74">
        <f>D21*E21*F21</f>
        <v>8000000</v>
      </c>
    </row>
    <row r="22" spans="1:7" s="2" customFormat="1" ht="25.5">
      <c r="A22" s="72">
        <v>2</v>
      </c>
      <c r="B22" s="32" t="s">
        <v>57</v>
      </c>
      <c r="C22" s="77" t="s">
        <v>86</v>
      </c>
      <c r="D22" s="72">
        <v>1</v>
      </c>
      <c r="E22" s="72">
        <v>1</v>
      </c>
      <c r="F22" s="43">
        <v>2000000</v>
      </c>
      <c r="G22" s="74">
        <f>D22*E22*F22</f>
        <v>2000000</v>
      </c>
    </row>
    <row r="23" spans="1:7" s="2" customFormat="1" ht="25.5">
      <c r="A23" s="72">
        <v>3</v>
      </c>
      <c r="B23" s="32" t="s">
        <v>59</v>
      </c>
      <c r="C23" s="77" t="s">
        <v>86</v>
      </c>
      <c r="D23" s="72">
        <v>2</v>
      </c>
      <c r="E23" s="72">
        <v>1</v>
      </c>
      <c r="F23" s="43">
        <v>2000000</v>
      </c>
      <c r="G23" s="74">
        <f>D23*E23*F23</f>
        <v>4000000</v>
      </c>
    </row>
    <row r="24" spans="1:7" s="2" customFormat="1" ht="25.5">
      <c r="A24" s="72">
        <v>4</v>
      </c>
      <c r="B24" s="32" t="s">
        <v>92</v>
      </c>
      <c r="C24" s="77" t="s">
        <v>93</v>
      </c>
      <c r="D24" s="72">
        <v>1</v>
      </c>
      <c r="E24" s="72">
        <v>1</v>
      </c>
      <c r="F24" s="43">
        <v>1500000</v>
      </c>
      <c r="G24" s="74">
        <f>D24*E24*F24</f>
        <v>1500000</v>
      </c>
    </row>
    <row r="25" spans="1:7">
      <c r="A25" s="72"/>
      <c r="B25" s="121" t="s">
        <v>94</v>
      </c>
      <c r="C25" s="121"/>
      <c r="D25" s="121"/>
      <c r="E25" s="121"/>
      <c r="F25" s="121"/>
      <c r="G25" s="80">
        <f>SUM(G5:G24)</f>
        <v>443440000</v>
      </c>
    </row>
    <row r="26" spans="1:7">
      <c r="A26" s="72"/>
      <c r="B26" s="121" t="s">
        <v>95</v>
      </c>
      <c r="C26" s="121"/>
      <c r="D26" s="121"/>
      <c r="E26" s="121"/>
      <c r="F26" s="121"/>
      <c r="G26" s="80">
        <f>G25/1.08</f>
        <v>410592592.59259254</v>
      </c>
    </row>
  </sheetData>
  <mergeCells count="7">
    <mergeCell ref="B25:F25"/>
    <mergeCell ref="B26:F26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E9BA-1E43-4FA9-B085-DA32147EF898}">
  <dimension ref="A2:G27"/>
  <sheetViews>
    <sheetView topLeftCell="A14" zoomScaleNormal="100" workbookViewId="0">
      <selection activeCell="L20" sqref="L20"/>
    </sheetView>
  </sheetViews>
  <sheetFormatPr defaultRowHeight="15"/>
  <cols>
    <col min="1" max="1" width="4.140625" style="83" customWidth="1"/>
    <col min="2" max="2" width="26.7109375" style="83" customWidth="1"/>
    <col min="3" max="3" width="7.5703125" style="83" customWidth="1"/>
    <col min="4" max="4" width="7.7109375" style="83" customWidth="1"/>
    <col min="5" max="5" width="7.28515625" style="83" customWidth="1"/>
    <col min="6" max="6" width="13.7109375" style="83" customWidth="1"/>
    <col min="7" max="7" width="14.140625" style="83" customWidth="1"/>
    <col min="8" max="8" width="19.5703125" style="83" customWidth="1"/>
    <col min="9" max="16384" width="9.140625" style="83"/>
  </cols>
  <sheetData>
    <row r="2" spans="1:7">
      <c r="A2" s="124" t="s">
        <v>96</v>
      </c>
      <c r="B2" s="124"/>
      <c r="C2" s="124"/>
      <c r="D2" s="124"/>
      <c r="E2" s="124"/>
      <c r="F2" s="124"/>
      <c r="G2" s="124"/>
    </row>
    <row r="3" spans="1:7">
      <c r="A3" s="82"/>
      <c r="B3" s="82"/>
      <c r="C3" s="82"/>
      <c r="D3" s="82"/>
      <c r="E3" s="82"/>
      <c r="F3" s="82"/>
      <c r="G3" s="82"/>
    </row>
    <row r="4" spans="1:7">
      <c r="A4" s="127" t="s">
        <v>63</v>
      </c>
      <c r="B4" s="127" t="s">
        <v>64</v>
      </c>
      <c r="C4" s="125" t="s">
        <v>65</v>
      </c>
      <c r="D4" s="125" t="s">
        <v>66</v>
      </c>
      <c r="E4" s="127" t="s">
        <v>67</v>
      </c>
      <c r="F4" s="85" t="s">
        <v>68</v>
      </c>
      <c r="G4" s="85" t="s">
        <v>69</v>
      </c>
    </row>
    <row r="5" spans="1:7">
      <c r="A5" s="127"/>
      <c r="B5" s="127"/>
      <c r="C5" s="125"/>
      <c r="D5" s="125"/>
      <c r="E5" s="127"/>
      <c r="F5" s="85" t="s">
        <v>70</v>
      </c>
      <c r="G5" s="85" t="s">
        <v>70</v>
      </c>
    </row>
    <row r="6" spans="1:7">
      <c r="A6" s="86" t="s">
        <v>11</v>
      </c>
      <c r="B6" s="84" t="s">
        <v>71</v>
      </c>
      <c r="C6" s="86"/>
      <c r="D6" s="86"/>
      <c r="E6" s="86"/>
      <c r="F6" s="86"/>
      <c r="G6" s="86"/>
    </row>
    <row r="7" spans="1:7">
      <c r="A7" s="78">
        <v>1</v>
      </c>
      <c r="B7" s="87" t="s">
        <v>72</v>
      </c>
      <c r="C7" s="88" t="s">
        <v>43</v>
      </c>
      <c r="D7" s="78">
        <v>1</v>
      </c>
      <c r="E7" s="78">
        <v>1</v>
      </c>
      <c r="F7" s="89">
        <v>6000000</v>
      </c>
      <c r="G7" s="89">
        <f>D7*E7*F7</f>
        <v>6000000</v>
      </c>
    </row>
    <row r="8" spans="1:7">
      <c r="A8" s="78">
        <v>2</v>
      </c>
      <c r="B8" s="87" t="s">
        <v>73</v>
      </c>
      <c r="C8" s="88" t="s">
        <v>43</v>
      </c>
      <c r="D8" s="78">
        <v>2</v>
      </c>
      <c r="E8" s="78">
        <v>1</v>
      </c>
      <c r="F8" s="89">
        <v>12000000</v>
      </c>
      <c r="G8" s="89">
        <f>D8*E8*F8</f>
        <v>24000000</v>
      </c>
    </row>
    <row r="9" spans="1:7">
      <c r="A9" s="78">
        <v>3</v>
      </c>
      <c r="B9" s="87" t="s">
        <v>74</v>
      </c>
      <c r="C9" s="88" t="s">
        <v>43</v>
      </c>
      <c r="D9" s="78">
        <v>2</v>
      </c>
      <c r="E9" s="78">
        <v>1</v>
      </c>
      <c r="F9" s="89">
        <v>6000000</v>
      </c>
      <c r="G9" s="89">
        <f>D9*E9*F9</f>
        <v>12000000</v>
      </c>
    </row>
    <row r="10" spans="1:7">
      <c r="A10" s="78">
        <v>4</v>
      </c>
      <c r="B10" s="90" t="s">
        <v>75</v>
      </c>
      <c r="C10" s="88" t="s">
        <v>43</v>
      </c>
      <c r="D10" s="78">
        <v>1</v>
      </c>
      <c r="E10" s="78">
        <v>2</v>
      </c>
      <c r="F10" s="89">
        <v>3000000</v>
      </c>
      <c r="G10" s="89">
        <f>D10*E10*F10</f>
        <v>6000000</v>
      </c>
    </row>
    <row r="11" spans="1:7">
      <c r="A11" s="78">
        <v>5</v>
      </c>
      <c r="B11" s="90" t="s">
        <v>97</v>
      </c>
      <c r="C11" s="88" t="s">
        <v>43</v>
      </c>
      <c r="D11" s="78">
        <v>1</v>
      </c>
      <c r="E11" s="78">
        <v>2</v>
      </c>
      <c r="F11" s="89">
        <v>300000</v>
      </c>
      <c r="G11" s="89">
        <f>D11*E11*F11</f>
        <v>600000</v>
      </c>
    </row>
    <row r="12" spans="1:7">
      <c r="A12" s="86" t="s">
        <v>18</v>
      </c>
      <c r="B12" s="84" t="s">
        <v>76</v>
      </c>
      <c r="C12" s="86"/>
      <c r="D12" s="86"/>
      <c r="E12" s="86"/>
      <c r="F12" s="86"/>
      <c r="G12" s="86"/>
    </row>
    <row r="13" spans="1:7" ht="45">
      <c r="A13" s="78">
        <v>1</v>
      </c>
      <c r="B13" s="91" t="s">
        <v>98</v>
      </c>
      <c r="C13" s="88" t="s">
        <v>78</v>
      </c>
      <c r="D13" s="78">
        <v>2</v>
      </c>
      <c r="E13" s="78">
        <v>1</v>
      </c>
      <c r="F13" s="92">
        <v>9960000</v>
      </c>
      <c r="G13" s="89">
        <f>D13*E13*F13</f>
        <v>19920000</v>
      </c>
    </row>
    <row r="14" spans="1:7" ht="60">
      <c r="A14" s="78">
        <v>2</v>
      </c>
      <c r="B14" s="91" t="s">
        <v>99</v>
      </c>
      <c r="C14" s="88" t="s">
        <v>78</v>
      </c>
      <c r="D14" s="78">
        <v>2</v>
      </c>
      <c r="E14" s="78">
        <v>2</v>
      </c>
      <c r="F14" s="89">
        <v>17600000</v>
      </c>
      <c r="G14" s="89">
        <f t="shared" ref="G14:G18" si="0">D14*E14*F14</f>
        <v>70400000</v>
      </c>
    </row>
    <row r="15" spans="1:7" ht="45">
      <c r="A15" s="78">
        <v>3</v>
      </c>
      <c r="B15" s="91" t="s">
        <v>77</v>
      </c>
      <c r="C15" s="88" t="s">
        <v>78</v>
      </c>
      <c r="D15" s="78">
        <v>11</v>
      </c>
      <c r="E15" s="78">
        <v>2</v>
      </c>
      <c r="F15" s="92">
        <v>9960000</v>
      </c>
      <c r="G15" s="89">
        <f t="shared" si="0"/>
        <v>219120000</v>
      </c>
    </row>
    <row r="16" spans="1:7">
      <c r="A16" s="86" t="s">
        <v>83</v>
      </c>
      <c r="B16" s="84" t="s">
        <v>84</v>
      </c>
      <c r="C16" s="87"/>
      <c r="D16" s="78"/>
      <c r="E16" s="78"/>
      <c r="F16" s="78"/>
      <c r="G16" s="78"/>
    </row>
    <row r="17" spans="1:7">
      <c r="A17" s="78">
        <v>1</v>
      </c>
      <c r="B17" s="87" t="s">
        <v>100</v>
      </c>
      <c r="C17" s="87" t="s">
        <v>101</v>
      </c>
      <c r="D17" s="78">
        <v>1</v>
      </c>
      <c r="E17" s="78">
        <v>1</v>
      </c>
      <c r="F17" s="93">
        <v>70500000</v>
      </c>
      <c r="G17" s="89">
        <f t="shared" si="0"/>
        <v>70500000</v>
      </c>
    </row>
    <row r="18" spans="1:7">
      <c r="A18" s="86" t="s">
        <v>35</v>
      </c>
      <c r="B18" s="84" t="s">
        <v>102</v>
      </c>
      <c r="C18" s="87" t="s">
        <v>86</v>
      </c>
      <c r="D18" s="78">
        <v>1</v>
      </c>
      <c r="E18" s="78">
        <v>1</v>
      </c>
      <c r="F18" s="93">
        <v>10000000</v>
      </c>
      <c r="G18" s="89">
        <f t="shared" si="0"/>
        <v>10000000</v>
      </c>
    </row>
    <row r="19" spans="1:7">
      <c r="A19" s="86" t="s">
        <v>90</v>
      </c>
      <c r="B19" s="84" t="s">
        <v>91</v>
      </c>
      <c r="C19" s="86"/>
      <c r="D19" s="86"/>
      <c r="E19" s="86"/>
      <c r="F19" s="86"/>
      <c r="G19" s="86"/>
    </row>
    <row r="20" spans="1:7">
      <c r="A20" s="78">
        <v>1</v>
      </c>
      <c r="B20" s="94" t="s">
        <v>103</v>
      </c>
      <c r="C20" s="87" t="s">
        <v>86</v>
      </c>
      <c r="D20" s="78">
        <v>2</v>
      </c>
      <c r="E20" s="78">
        <v>1</v>
      </c>
      <c r="F20" s="93">
        <v>4000000</v>
      </c>
      <c r="G20" s="89">
        <f>D20*E20*F20</f>
        <v>8000000</v>
      </c>
    </row>
    <row r="21" spans="1:7">
      <c r="A21" s="78">
        <v>2</v>
      </c>
      <c r="B21" s="94" t="s">
        <v>104</v>
      </c>
      <c r="C21" s="87" t="s">
        <v>86</v>
      </c>
      <c r="D21" s="78">
        <v>1</v>
      </c>
      <c r="E21" s="78">
        <v>1</v>
      </c>
      <c r="F21" s="93">
        <v>2000000</v>
      </c>
      <c r="G21" s="89">
        <f>D21*E21*F21</f>
        <v>2000000</v>
      </c>
    </row>
    <row r="22" spans="1:7">
      <c r="A22" s="78">
        <v>3</v>
      </c>
      <c r="B22" s="94" t="s">
        <v>105</v>
      </c>
      <c r="C22" s="87" t="s">
        <v>86</v>
      </c>
      <c r="D22" s="78">
        <v>2</v>
      </c>
      <c r="E22" s="78">
        <v>1</v>
      </c>
      <c r="F22" s="93">
        <v>2000000</v>
      </c>
      <c r="G22" s="89">
        <f>D22*E22*F22</f>
        <v>4000000</v>
      </c>
    </row>
    <row r="23" spans="1:7" ht="30">
      <c r="A23" s="78">
        <v>4</v>
      </c>
      <c r="B23" s="94" t="s">
        <v>92</v>
      </c>
      <c r="C23" s="87" t="s">
        <v>93</v>
      </c>
      <c r="D23" s="78">
        <v>1</v>
      </c>
      <c r="E23" s="78">
        <v>1</v>
      </c>
      <c r="F23" s="93">
        <v>1500000</v>
      </c>
      <c r="G23" s="89">
        <f>D23*E23*F23</f>
        <v>1500000</v>
      </c>
    </row>
    <row r="24" spans="1:7">
      <c r="A24" s="86" t="s">
        <v>106</v>
      </c>
      <c r="B24" s="95" t="s">
        <v>107</v>
      </c>
      <c r="C24" s="96" t="s">
        <v>86</v>
      </c>
      <c r="D24" s="78">
        <v>7</v>
      </c>
      <c r="E24" s="78">
        <v>1</v>
      </c>
      <c r="F24" s="93">
        <v>800000</v>
      </c>
      <c r="G24" s="98">
        <f>D24*E24*F24</f>
        <v>5600000</v>
      </c>
    </row>
    <row r="25" spans="1:7">
      <c r="A25" s="78"/>
      <c r="B25" s="123" t="s">
        <v>108</v>
      </c>
      <c r="C25" s="123"/>
      <c r="D25" s="123"/>
      <c r="E25" s="123"/>
      <c r="F25" s="123"/>
      <c r="G25" s="97">
        <f>SUM(G7:G24)</f>
        <v>459640000</v>
      </c>
    </row>
    <row r="26" spans="1:7">
      <c r="G26" s="99">
        <v>330000000</v>
      </c>
    </row>
    <row r="27" spans="1:7">
      <c r="G27" s="100">
        <f>G25-G26</f>
        <v>129640000</v>
      </c>
    </row>
  </sheetData>
  <mergeCells count="7">
    <mergeCell ref="B25:F25"/>
    <mergeCell ref="A2:G2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Thi Nuong</dc:creator>
  <cp:keywords/>
  <dc:description/>
  <cp:lastModifiedBy>Long, Do Kim</cp:lastModifiedBy>
  <cp:revision/>
  <dcterms:created xsi:type="dcterms:W3CDTF">2022-11-16T04:33:26Z</dcterms:created>
  <dcterms:modified xsi:type="dcterms:W3CDTF">2023-01-05T10:51:18Z</dcterms:modified>
  <cp:category/>
  <cp:contentStatus/>
</cp:coreProperties>
</file>